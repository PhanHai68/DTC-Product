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0345b7b2a4d494b" /></Relationships>
</file>

<file path=xl/workbook.xml><?xml version="1.0" encoding="utf-8"?>
<x:workbook xmlns:x="http://schemas.openxmlformats.org/spreadsheetml/2006/main">
  <x:sheets>
    <x:sheet xmlns:r="http://schemas.openxmlformats.org/officeDocument/2006/relationships" name="README" sheetId="1" r:id="Re5f0532521004049"/>
    <x:sheet xmlns:r="http://schemas.openxmlformats.org/officeDocument/2006/relationships" name="Series" sheetId="2" r:id="Rd2c52754a4ac46a9"/>
    <x:sheet xmlns:r="http://schemas.openxmlformats.org/officeDocument/2006/relationships" name="Models" sheetId="3" r:id="R3d15cd77e8984c46"/>
    <x:sheet xmlns:r="http://schemas.openxmlformats.org/officeDocument/2006/relationships" name="Extra_Specs" sheetId="4" r:id="Rf7b5fbde68fa4443"/>
    <x:sheet xmlns:r="http://schemas.openxmlformats.org/officeDocument/2006/relationships" name="Selection_Tags" sheetId="5" r:id="R37f70c7cf945417e"/>
    <x:sheet xmlns:r="http://schemas.openxmlformats.org/officeDocument/2006/relationships" name="Corrections" sheetId="6" r:id="R5cdd8da55e174dc5"/>
    <x:sheet xmlns:r="http://schemas.openxmlformats.org/officeDocument/2006/relationships" name="Field_Guide" sheetId="7" r:id="Rba5e0ea5f2024ed3"/>
    <x:sheet xmlns:r="http://schemas.openxmlformats.org/officeDocument/2006/relationships" name="Update_Log" sheetId="8" r:id="Ra3d890b039d14b24"/>
    <x:sheet xmlns:r="http://schemas.openxmlformats.org/officeDocument/2006/relationships" name="Lists" sheetId="9" r:id="Rf7f8f44c4e114950"/>
    <x:sheet xmlns:r="http://schemas.openxmlformats.org/officeDocument/2006/relationships" name="Materials" sheetId="10" r:id="R002be46197e84301"/>
    <x:sheet xmlns:r="http://schemas.openxmlformats.org/officeDocument/2006/relationships" name="Material_Series_Map" sheetId="11" r:id="Rbb4ce21e98a54f56"/>
    <x:sheet xmlns:r="http://schemas.openxmlformats.org/officeDocument/2006/relationships" name="AI_Config" sheetId="12" r:id="R61a097afd37c4bbc"/>
    <x:sheet xmlns:r="http://schemas.openxmlformats.org/officeDocument/2006/relationships" name="Selection_Rules" sheetId="13" r:id="R8d9653147acd4b14"/>
    <x:sheet xmlns:r="http://schemas.openxmlformats.org/officeDocument/2006/relationships" name="AI_Field_Map" sheetId="14" r:id="R6cb7ee72d5b04bb8"/>
    <x:sheet xmlns:r="http://schemas.openxmlformats.org/officeDocument/2006/relationships" name="AI_Intents" sheetId="15" r:id="R3e131a0156fb4995"/>
    <x:sheet xmlns:r="http://schemas.openxmlformats.org/officeDocument/2006/relationships" name="AI_Prompt" sheetId="16" r:id="Rcf6c4a48a7e54977"/>
    <x:sheet xmlns:r="http://schemas.openxmlformats.org/officeDocument/2006/relationships" name="Chat_Examples" sheetId="17" r:id="R392ebc86375649fd"/>
    <x:sheet xmlns:r="http://schemas.openxmlformats.org/officeDocument/2006/relationships" name="AI_Selection_Test" sheetId="18" r:id="R3302837f01204a63"/>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FFFFFF"/>
      <x:name val="Carlito"/>
    </x:font>
    <x:font>
      <x:sz val="11"/>
      <x:color rgb="FF6B5300"/>
      <x:name val="Carlito"/>
    </x:font>
    <x:font>
      <x:b/>
      <x:sz val="11"/>
      <x:color rgb="FFFFFFFF"/>
      <x:name val="Carlito"/>
    </x:font>
    <x:font>
      <x:b/>
      <x:sz val="15"/>
      <x:color rgb="FFFFFFFF"/>
      <x:name val="Carlito"/>
    </x:font>
    <x:font>
      <x:b/>
      <x:sz val="11"/>
      <x:color rgb="FF0F5132"/>
      <x:name val="Carlito"/>
    </x:font>
  </x:fonts>
  <x:fills count="9">
    <x:fill>
      <x:patternFill patternType="none"/>
    </x:fill>
    <x:fill>
      <x:patternFill patternType="gray125"/>
    </x:fill>
    <x:fill>
      <x:patternFill patternType="solid">
        <x:fgColor rgb="FF0F6B3E"/>
      </x:patternFill>
    </x:fill>
    <x:fill>
      <x:patternFill patternType="solid">
        <x:fgColor rgb="FFFFF7D6"/>
      </x:patternFill>
    </x:fill>
    <x:fill>
      <x:patternFill patternType="solid">
        <x:fgColor rgb="FF15824B"/>
      </x:patternFill>
    </x:fill>
    <x:fill>
      <x:patternFill patternType="solid">
        <x:fgColor rgb="FF15824B"/>
      </x:patternFill>
    </x:fill>
    <x:fill>
      <x:patternFill patternType="solid">
        <x:fgColor rgb="FF0F6B3E"/>
      </x:patternFill>
    </x:fill>
    <x:fill>
      <x:patternFill patternType="solid">
        <x:fgColor rgb="FFFFF7D6"/>
      </x:patternFill>
    </x:fill>
    <x:fill>
      <x:patternFill patternType="solid">
        <x:fgColor rgb="FFDDEFE4"/>
      </x:patternFill>
    </x:fill>
  </x:fills>
  <x:borders count="26">
    <x:border/>
    <x:border/>
    <x:border/>
    <x:border/>
    <x:border/>
    <x:border/>
    <x:border/>
    <x:border/>
    <x:border/>
    <x:border/>
    <x:border/>
    <x:border/>
    <x:border/>
    <x:border/>
    <x:border/>
    <x:border/>
    <x:border/>
    <x:border/>
    <x:border>
      <x:left/>
      <x:top/>
    </x:border>
    <x:border>
      <x:top/>
    </x:border>
    <x:border>
      <x:right/>
      <x:top/>
    </x:border>
    <x:border>
      <x:left/>
    </x:border>
    <x:border>
      <x:right/>
    </x:border>
    <x:border>
      <x:left/>
      <x:bottom/>
    </x:border>
    <x:border>
      <x:bottom/>
    </x:border>
    <x:border>
      <x:right/>
      <x:bottom/>
    </x:border>
  </x:borders>
  <x:cellStyleXfs count="1">
    <x:xf numFmtId="0" fontId="0" fillId="0" borderId="0"/>
  </x:cellStyleXfs>
  <x:cellXfs count="1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1" fillId="2" borderId="0" xfId="0" applyNumberFormat="1" applyFont="1" applyFill="1" applyBorder="1" applyAlignment="1">
      <x:alignment horizontal="left"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left" vertical="center" wrapText="1"/>
    </x:xf>
    <x:xf numFmtId="0" fontId="0" fillId="0" borderId="1"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3" fillId="4" borderId="10" xfId="0" applyNumberFormat="1" applyFont="1" applyFill="1" applyBorder="1" applyAlignment="1">
      <x:alignment horizontal="center" vertical="center"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0" borderId="8" xfId="0" applyNumberFormat="1" applyFont="1" applyFill="1" applyBorder="1">
      <x:extLst>
        <x:ext uri="{C7286773-470A-42A8-94C5-96B5CB345126}">
          <xfpb:xfComplement xmlns:xfpb="http://schemas.microsoft.com/office/spreadsheetml/2022/featurepropertybag" i="0"/>
        </x:ext>
      </x:extLst>
    </x:xf>
    <x:xf numFmtId="0" fontId="0" fillId="0" borderId="16"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6"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xfId="0" applyNumberFormat="1" applyFont="1" applyFill="1" applyBorder="0"/>
    <x:xf numFmtId="0" fontId="0" fillId="0" xfId="0" applyNumberFormat="1" applyFont="1" applyFill="1" applyBorder="0">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3" xfId="0" applyNumberFormat="1" applyFont="1" applyFill="1" applyBorder="1"/>
    <x:xf numFmtId="0" fontId="0" fillId="0" borderId="24" xfId="0" applyNumberFormat="1" applyFont="1" applyFill="1" applyBorder="1"/>
    <x:xf numFmtId="0" fontId="0" fillId="0" borderId="25" xfId="0" applyNumberFormat="1" applyFont="1" applyFill="1" applyBorder="1"/>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xfId="0" applyNumberFormat="1" applyFont="1" applyFill="1" applyBorder="0" applyAlignment="1">
      <x:alignment wrapText="1"/>
    </x:xf>
    <x:xf numFmtId="0" fontId="0" fillId="0" xfId="0" applyNumberFormat="1" applyFont="1" applyFill="1" applyBorder="0" applyAlignment="1">
      <x:alignment wrapText="1"/>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1"/>
    </x:xf>
    <x:xf numFmtId="0" fontId="0" fillId="0" borderId="23"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5" borderId="18" xfId="0" applyNumberFormat="1" applyFont="1" applyFill="1" applyBorder="1" applyAlignment="1">
      <x:alignment wrapText="1"/>
    </x:xf>
    <x:xf numFmtId="0" fontId="0" fillId="5" borderId="19" xfId="0" applyNumberFormat="1" applyFont="1" applyFill="1" applyBorder="1" applyAlignment="1">
      <x:alignment wrapText="1"/>
    </x:xf>
    <x:xf numFmtId="0" fontId="0" fillId="5" borderId="20" xfId="0" applyNumberFormat="1" applyFont="1" applyFill="1" applyBorder="1" applyAlignment="1">
      <x:alignment wrapText="1"/>
    </x:xf>
    <x:xf numFmtId="0" fontId="3" fillId="5" borderId="18" xfId="0" applyNumberFormat="1" applyFont="1" applyFill="1" applyBorder="1" applyAlignment="1">
      <x:alignment wrapText="1"/>
    </x:xf>
    <x:xf numFmtId="0" fontId="3" fillId="5" borderId="19" xfId="0" applyNumberFormat="1" applyFont="1" applyFill="1" applyBorder="1" applyAlignment="1">
      <x:alignment wrapText="1"/>
    </x:xf>
    <x:xf numFmtId="0" fontId="3" fillId="5" borderId="20" xfId="0" applyNumberFormat="1" applyFont="1" applyFill="1" applyBorder="1" applyAlignment="1">
      <x:alignment wrapText="1"/>
    </x:xf>
    <x:xf numFmtId="0" fontId="3" fillId="5" borderId="18" xfId="0" applyNumberFormat="1" applyFont="1" applyFill="1" applyBorder="1" applyAlignment="1">
      <x:alignment horizontal="center" wrapText="1"/>
    </x:xf>
    <x:xf numFmtId="0" fontId="3" fillId="5" borderId="19" xfId="0" applyNumberFormat="1" applyFont="1" applyFill="1" applyBorder="1" applyAlignment="1">
      <x:alignment horizontal="center" wrapText="1"/>
    </x:xf>
    <x:xf numFmtId="0" fontId="3" fillId="5" borderId="20" xfId="0" applyNumberFormat="1" applyFont="1" applyFill="1" applyBorder="1" applyAlignment="1">
      <x:alignment horizontal="center" wrapText="1"/>
    </x:xf>
    <x:xf numFmtId="0" fontId="3" fillId="5" borderId="18" xfId="0" applyNumberFormat="1" applyFont="1" applyFill="1" applyBorder="1" applyAlignment="1">
      <x:alignment horizontal="center" vertical="center" wrapText="1"/>
    </x:xf>
    <x:xf numFmtId="0" fontId="3" fillId="5" borderId="19" xfId="0" applyNumberFormat="1" applyFont="1" applyFill="1" applyBorder="1" applyAlignment="1">
      <x:alignment horizontal="center" vertical="center" wrapText="1"/>
    </x:xf>
    <x:xf numFmtId="0" fontId="3" fillId="5" borderId="20" xfId="0" applyNumberFormat="1" applyFont="1" applyFill="1" applyBorder="1" applyAlignment="1">
      <x:alignment horizontal="center" vertical="center" wrapText="1"/>
    </x:xf>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4" xfId="0" applyNumberFormat="1" applyFont="1" applyFill="1" applyBorder="1">
      <x:extLst>
        <x:ext uri="{C7286773-470A-42A8-94C5-96B5CB345126}">
          <xfpb:xfComplement xmlns:xfpb="http://schemas.microsoft.com/office/spreadsheetml/2022/featurepropertybag" i="0"/>
        </x:ext>
      </x:extLst>
    </x:xf>
    <x:xf numFmtId="0" fontId="0" fillId="0" borderId="25"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24"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25"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left"/>
    </x:xf>
    <x:xf numFmtId="0" fontId="4" fillId="6" borderId="0" xfId="0" applyNumberFormat="1" applyFont="1" applyFill="1" applyBorder="1" applyAlignment="1">
      <x:alignment horizontal="left" vertical="center"/>
    </x:xf>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wrapText="1"/>
    </x:xf>
    <x:xf numFmtId="0" fontId="3" fillId="5" borderId="0" xfId="0" applyNumberFormat="1" applyFont="1" applyFill="1" applyBorder="1" applyAlignment="1">
      <x:alignment horizontal="center" wrapText="1"/>
    </x:xf>
    <x:xf numFmtId="0" fontId="3" fillId="5" borderId="0" xfId="0" applyNumberFormat="1" applyFont="1" applyFill="1" applyBorder="1" applyAlignment="1">
      <x:alignment horizontal="center" vertical="center" wrapText="1"/>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5" fillId="8" borderId="0" xfId="0" applyNumberFormat="1" applyFont="1" applyFill="1" applyBorder="1" applyAlignment="1">
      <x:alignment wrapText="1"/>
    </x:xf>
    <x:xf numFmtId="0" fontId="0" fillId="8" borderId="0" xfId="0" applyNumberFormat="1" applyFont="1" applyFill="1" applyBorder="1"/>
    <x:xf numFmtId="0" fontId="5" fillId="8" borderId="0" xfId="0" applyNumberFormat="1" applyFont="1" applyFill="1" applyBorder="1"/>
  </x:cellXfs>
  <x:cellStyles count="1">
    <x:cellStyle name="Normal" xfId="0"/>
  </x:cellStyles>
  <x:dxfs count="4">
    <x:dxf>
      <x:font>
        <x:b/>
        <x:color rgb="FFB91C1C"/>
      </x:font>
      <x:fill>
        <x:patternFill>
          <x:bgColor rgb="FFFDE2E2"/>
        </x:patternFill>
      </x:fill>
    </x:dxf>
    <x:dxf>
      <x:font>
        <x:b/>
        <x:color rgb="FF137333"/>
      </x:font>
      <x:fill>
        <x:patternFill>
          <x:bgColor rgb="FFE6F4EA"/>
        </x:patternFill>
      </x:fill>
    </x:dxf>
    <x:dxf>
      <x:font>
        <x:b/>
        <x:color rgb="FF166534"/>
      </x:font>
      <x:fill>
        <x:patternFill patternType="solid">
          <x:bgColor rgb="FFDCFCE7"/>
        </x:patternFill>
      </x:fill>
    </x:dxf>
    <x:dxf>
      <x:font>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04f0aa9ad2240a6" /><Relationship Type="http://schemas.openxmlformats.org/officeDocument/2006/relationships/theme" Target="/xl/theme/theme1.xml" Id="R64cb39eb6c904332" /><Relationship Type="http://schemas.microsoft.com/office/2022/11/relationships/FeaturePropertyBag" Target="/xl/featurePropertyBag/featurePropertyBag.xml" Id="Red910d15f38545c0" /><Relationship Type="http://schemas.openxmlformats.org/officeDocument/2006/relationships/sharedStrings" Target="/xl/sharedStrings.xml" Id="R3ef4ac0b50e54d5e" /><Relationship Type="http://schemas.openxmlformats.org/officeDocument/2006/relationships/worksheet" Target="/xl/worksheets/sheet1.xml" Id="Re5f0532521004049" /><Relationship Type="http://schemas.openxmlformats.org/officeDocument/2006/relationships/worksheet" Target="/xl/worksheets/sheet2.xml" Id="Rd2c52754a4ac46a9" /><Relationship Type="http://schemas.openxmlformats.org/officeDocument/2006/relationships/worksheet" Target="/xl/worksheets/sheet3.xml" Id="R3d15cd77e8984c46" /><Relationship Type="http://schemas.openxmlformats.org/officeDocument/2006/relationships/worksheet" Target="/xl/worksheets/sheet4.xml" Id="Rf7b5fbde68fa4443" /><Relationship Type="http://schemas.openxmlformats.org/officeDocument/2006/relationships/worksheet" Target="/xl/worksheets/sheet5.xml" Id="R37f70c7cf945417e" /><Relationship Type="http://schemas.openxmlformats.org/officeDocument/2006/relationships/worksheet" Target="/xl/worksheets/sheet6.xml" Id="R5cdd8da55e174dc5" /><Relationship Type="http://schemas.openxmlformats.org/officeDocument/2006/relationships/worksheet" Target="/xl/worksheets/sheet7.xml" Id="Rba5e0ea5f2024ed3" /><Relationship Type="http://schemas.openxmlformats.org/officeDocument/2006/relationships/worksheet" Target="/xl/worksheets/sheet8.xml" Id="Ra3d890b039d14b24" /><Relationship Type="http://schemas.openxmlformats.org/officeDocument/2006/relationships/worksheet" Target="/xl/worksheets/sheet9.xml" Id="Rf7f8f44c4e114950" /><Relationship Type="http://schemas.openxmlformats.org/officeDocument/2006/relationships/worksheet" Target="/xl/worksheets/sheet10.xml" Id="R002be46197e84301" /><Relationship Type="http://schemas.openxmlformats.org/officeDocument/2006/relationships/worksheet" Target="/xl/worksheets/sheet11.xml" Id="Rbb4ce21e98a54f56" /><Relationship Type="http://schemas.openxmlformats.org/officeDocument/2006/relationships/worksheet" Target="/xl/worksheets/sheet12.xml" Id="R61a097afd37c4bbc" /><Relationship Type="http://schemas.openxmlformats.org/officeDocument/2006/relationships/worksheet" Target="/xl/worksheets/sheet13.xml" Id="R8d9653147acd4b14" /><Relationship Type="http://schemas.openxmlformats.org/officeDocument/2006/relationships/worksheet" Target="/xl/worksheets/sheet14.xml" Id="R6cb7ee72d5b04bb8" /><Relationship Type="http://schemas.openxmlformats.org/officeDocument/2006/relationships/worksheet" Target="/xl/worksheets/sheet15.xml" Id="R3e131a0156fb4995" /><Relationship Type="http://schemas.openxmlformats.org/officeDocument/2006/relationships/worksheet" Target="/xl/worksheets/sheet16.xml" Id="Rcf6c4a48a7e54977" /><Relationship Type="http://schemas.openxmlformats.org/officeDocument/2006/relationships/worksheet" Target="/xl/worksheets/sheet17.xml" Id="R392ebc86375649fd" /><Relationship Type="http://schemas.openxmlformats.org/officeDocument/2006/relationships/worksheet" Target="/xl/worksheets/sheet18.xml" Id="R3302837f01204a6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SeriesTable" displayName="SeriesTable" ref="A1:I12" headerRowCount="1" totalsRowCount="0" totalsRowShown="0">
  <x:tableColumns count="9">
    <x:tableColumn id="1" name="series_code"/>
    <x:tableColumn id="2" name="display_code"/>
    <x:tableColumn id="3" name="name_vi"/>
    <x:tableColumn id="4" name="name_en"/>
    <x:tableColumn id="5" name="technology"/>
    <x:tableColumn id="6" name="pdf_pages"/>
    <x:tableColumn id="7" name="application_vi"/>
    <x:tableColumn id="8" name="working_principle_vi"/>
    <x:tableColumn id="9" name="notes"/>
  </x:tableColumns>
  <x:tableStyleInfo name="TableStyleMedium2" showFirstColumn="0" showLastColumn="0" showRowStripes="1" showColumnStripes="0"/>
</x:table>
</file>

<file path=xl/tables/table2.xml><?xml version="1.0" encoding="utf-8"?>
<x:table xmlns:x="http://schemas.openxmlformats.org/spreadsheetml/2006/main" id="2" name="ModelsTable" displayName="ModelsTable" ref="A1:W58" headerRowCount="1" totalsRowCount="0" totalsRowShown="0">
  <x:tableColumns count="23">
    <x:tableColumn id="1" name="machine_id"/>
    <x:tableColumn id="2" name="ID Check"/>
    <x:tableColumn id="3" name="series_code"/>
    <x:tableColumn id="4" name="model"/>
    <x:tableColumn id="5" name="active"/>
    <x:tableColumn id="6" name="pdf_page"/>
    <x:tableColumn id="7" name="capacity_min_kg_h"/>
    <x:tableColumn id="8" name="capacity_max_kg_h"/>
    <x:tableColumn id="9" name="input_size_max_mm"/>
    <x:tableColumn id="10" name="input_size_note"/>
    <x:tableColumn id="11" name="fineness_min"/>
    <x:tableColumn id="12" name="fineness_max"/>
    <x:tableColumn id="13" name="fineness_unit"/>
    <x:tableColumn id="14" name="main_motor_kw_min"/>
    <x:tableColumn id="15" name="main_motor_kw_max"/>
    <x:tableColumn id="16" name="speed_rpm_min"/>
    <x:tableColumn id="17" name="speed_rpm_max"/>
    <x:tableColumn id="18" name="length_mm"/>
    <x:tableColumn id="19" name="width_mm"/>
    <x:tableColumn id="20" name="height_mm"/>
    <x:tableColumn id="21" name="weight_kg"/>
    <x:tableColumn id="22" name="source_document"/>
    <x:tableColumn id="23" name="edit_note"/>
  </x:tableColumns>
  <x:tableStyleInfo name="TableStyleMedium2" showFirstColumn="0" showLastColumn="0" showRowStripes="1" showColumnStripes="0"/>
</x:table>
</file>

<file path=xl/tables/table3.xml><?xml version="1.0" encoding="utf-8"?>
<x:table xmlns:x="http://schemas.openxmlformats.org/spreadsheetml/2006/main" id="3" name="ExtraSpecsTable" displayName="ExtraSpecsTable" ref="A1:I173" headerRowCount="1" totalsRowCount="0" totalsRowShown="0">
  <x:tableColumns count="9">
    <x:tableColumn id="1" name="machine_id"/>
    <x:tableColumn id="2" name="series_code"/>
    <x:tableColumn id="3" name="model"/>
    <x:tableColumn id="4" name="spec_key"/>
    <x:tableColumn id="5" name="spec_value_number"/>
    <x:tableColumn id="6" name="spec_value_text"/>
    <x:tableColumn id="7" name="unit"/>
    <x:tableColumn id="8" name="source_pdf_page"/>
    <x:tableColumn id="9" name="note"/>
  </x:tableColumns>
  <x:tableStyleInfo name="TableStyleMedium2" showFirstColumn="0" showLastColumn="0" showRowStripes="1" showColumnStripes="0"/>
</x:table>
</file>

<file path=xl/tables/table4.xml><?xml version="1.0" encoding="utf-8"?>
<x:table xmlns:x="http://schemas.openxmlformats.org/spreadsheetml/2006/main" id="4" name="SelectionTagsTable" displayName="SelectionTagsTable" ref="A1:D89" headerRowCount="1" totalsRowCount="0" totalsRowShown="0">
  <x:tableColumns count="4">
    <x:tableColumn id="1" name="series_code"/>
    <x:tableColumn id="2" name="display_code"/>
    <x:tableColumn id="3" name="tag"/>
    <x:tableColumn id="4" name="note"/>
  </x:tableColumns>
  <x:tableStyleInfo name="TableStyleMedium2" showFirstColumn="0" showLastColumn="0" showRowStripes="1" showColumnStripes="0"/>
</x:table>
</file>

<file path=xl/tables/table5.xml><?xml version="1.0" encoding="utf-8"?>
<x:table xmlns:x="http://schemas.openxmlformats.org/spreadsheetml/2006/main" id="5" name="CorrectionsTable" displayName="CorrectionsTable" ref="A1:G4" headerRowCount="1" totalsRowCount="0" totalsRowShown="0">
  <x:tableColumns count="7">
    <x:tableColumn id="1" name="pdf_page"/>
    <x:tableColumn id="2" name="original_text"/>
    <x:tableColumn id="3" name="normalized_value"/>
    <x:tableColumn id="4" name="reason"/>
    <x:tableColumn id="5" name="correction_type"/>
    <x:tableColumn id="6" name="status"/>
    <x:tableColumn id="7" name="review_note"/>
  </x:tableColumns>
  <x:tableStyleInfo name="TableStyleMedium2" showFirstColumn="0" showLastColumn="0" showRowStripes="1" showColumnStripes="0"/>
</x:table>
</file>

<file path=xl/tables/table6.xml><?xml version="1.0" encoding="utf-8"?>
<x:table xmlns:x="http://schemas.openxmlformats.org/spreadsheetml/2006/main" id="6" name="FieldGuideTable" displayName="FieldGuideTable" ref="A1:E9" headerRowCount="1" totalsRowCount="0" totalsRowShown="0">
  <x:tableColumns count="5">
    <x:tableColumn id="1" name="Sheet"/>
    <x:tableColumn id="2" name="Field"/>
    <x:tableColumn id="3" name="Ý nghĩa / cách cập nhật"/>
    <x:tableColumn id="4" name="Unit / kiểu dữ liệu"/>
    <x:tableColumn id="5" name="Bắt buộc"/>
  </x:tableColumns>
  <x:tableStyleInfo name="TableStyleMedium2" showFirstColumn="0" showLastColumn="0" showRowStripes="1" showColumnStripes="0"/>
</x:table>
</file>

<file path=xl/tables/table7.xml><?xml version="1.0" encoding="utf-8"?>
<x:table xmlns:x="http://schemas.openxmlformats.org/spreadsheetml/2006/main" id="7" name="UpdateLogTable" displayName="UpdateLogTable" ref="A1:H3" headerRowCount="1" totalsRowCount="0" totalsRowShown="0">
  <x:tableColumns count="8">
    <x:tableColumn id="1" name="version"/>
    <x:tableColumn id="2" name="date"/>
    <x:tableColumn id="3" name="editor"/>
    <x:tableColumn id="4" name="sheet"/>
    <x:tableColumn id="5" name="record_id"/>
    <x:tableColumn id="6" name="change_type"/>
    <x:tableColumn id="7" name="description"/>
    <x:tableColumn id="8" name="verified"/>
  </x:tableColumns>
  <x:tableStyleInfo name="TableStyleMedium2" showFirstColumn="0" showLastColumn="0" showRowStripes="1" showColumnStripes="0"/>
</x:table>
</file>

<file path=xl/tables/table8.xml><?xml version="1.0" encoding="utf-8"?>
<x:table xmlns:x="http://schemas.openxmlformats.org/spreadsheetml/2006/main" id="8" name="MaterialsTable" displayName="MaterialsTable" ref="A1:P15" headerRowCount="1" totalsRowCount="0" totalsRowShown="0">
  <x:tableColumns count="16">
    <x:tableColumn id="1" name="material_id"/>
    <x:tableColumn id="2" name="name_vi"/>
    <x:tableColumn id="3" name="name_en"/>
    <x:tableColumn id="4" name="category"/>
    <x:tableColumn id="5" name="hardness"/>
    <x:tableColumn id="6" name="fibrous"/>
    <x:tableColumn id="7" name="oily"/>
    <x:tableColumn id="8" name="sticky_or_paste"/>
    <x:tableColumn id="9" name="wet"/>
    <x:tableColumn id="10" name="heat_sensitive"/>
    <x:tableColumn id="11" name="brittle"/>
    <x:tableColumn id="12" name="crystalline"/>
    <x:tableColumn id="13" name="source_candidate_series"/>
    <x:tableColumn id="14" name="source_basis"/>
    <x:tableColumn id="15" name="status"/>
    <x:tableColumn id="16" name="notes"/>
  </x:tableColumns>
  <x:tableStyleInfo name="TableStyleMedium2" showFirstColumn="0" showLastColumn="0" showRowStripes="1" showColumnStripes="0"/>
</x:table>
</file>

<file path=xl/tables/table9.xml><?xml version="1.0" encoding="utf-8"?>
<x:table xmlns:x="http://schemas.openxmlformats.org/spreadsheetml/2006/main" id="9" name="MaterialSeriesMapTable" displayName="MaterialSeriesMapTable" ref="A1:G12" headerRowCount="1" totalsRowCount="0" totalsRowShown="0">
  <x:tableColumns count="7">
    <x:tableColumn id="1" name="material_id"/>
    <x:tableColumn id="2" name="series_code"/>
    <x:tableColumn id="3" name="score_adjustment"/>
    <x:tableColumn id="4" name="basis_type"/>
    <x:tableColumn id="5" name="reason_vi"/>
    <x:tableColumn id="6" name="source_basis"/>
    <x:tableColumn id="7" name="status"/>
  </x:tableColumns>
  <x:tableStyleInfo name="TableStyleMedium2" showFirstColumn="0" showLastColumn="0" showRowStripes="1" showColumnStripes="0"/>
</x:table>
</file>

<file path=xl/tables/table10.xml><?xml version="1.0" encoding="utf-8"?>
<x:table xmlns:x="http://schemas.openxmlformats.org/spreadsheetml/2006/main" id="10" name="AIConfigTable" displayName="AIConfigTable" ref="A1:F12" headerRowCount="1" totalsRowCount="0" totalsRowShown="0">
  <x:tableColumns count="6">
    <x:tableColumn id="1" name="key"/>
    <x:tableColumn id="2" name="value"/>
    <x:tableColumn id="3" name="unit"/>
    <x:tableColumn id="4" name="category"/>
    <x:tableColumn id="5" name="description"/>
    <x:tableColumn id="6" name="editable"/>
  </x:tableColumns>
  <x:tableStyleInfo name="TableStyleMedium2" showFirstColumn="0" showLastColumn="0" showRowStripes="1" showColumnStripes="0"/>
</x:table>
</file>

<file path=xl/tables/table11.xml><?xml version="1.0" encoding="utf-8"?>
<x:table xmlns:x="http://schemas.openxmlformats.org/spreadsheetml/2006/main" id="11" name="SelectionRulesTable" displayName="SelectionRulesTable" ref="A1:I10" headerRowCount="1" totalsRowCount="0" totalsRowShown="0">
  <x:tableColumns count="9">
    <x:tableColumn id="1" name="rule_id"/>
    <x:tableColumn id="2" name="rule_type"/>
    <x:tableColumn id="3" name="input_field"/>
    <x:tableColumn id="4" name="logic"/>
    <x:tableColumn id="5" name="weight_or_value"/>
    <x:tableColumn id="6" name="on_fail"/>
    <x:tableColumn id="7" name="message_vi"/>
    <x:tableColumn id="8" name="basis"/>
    <x:tableColumn id="9" name="status"/>
  </x:tableColumns>
  <x:tableStyleInfo name="TableStyleMedium2" showFirstColumn="0" showLastColumn="0" showRowStripes="1" showColumnStripes="0"/>
</x:table>
</file>

<file path=xl/tables/table12.xml><?xml version="1.0" encoding="utf-8"?>
<x:table xmlns:x="http://schemas.openxmlformats.org/spreadsheetml/2006/main" id="12" name="AIFieldMapTable" displayName="AIFieldMapTable" ref="A1:F12" headerRowCount="1" totalsRowCount="0" totalsRowShown="0">
  <x:tableColumns count="6">
    <x:tableColumn id="1" name="field_name"/>
    <x:tableColumn id="2" name="synonyms_vi"/>
    <x:tableColumn id="3" name="data_type"/>
    <x:tableColumn id="4" name="canonical_unit"/>
    <x:tableColumn id="5" name="normalization"/>
    <x:tableColumn id="6" name="importance"/>
  </x:tableColumns>
  <x:tableStyleInfo name="TableStyleMedium2" showFirstColumn="0" showLastColumn="0" showRowStripes="1" showColumnStripes="0"/>
</x:table>
</file>

<file path=xl/tables/table13.xml><?xml version="1.0" encoding="utf-8"?>
<x:table xmlns:x="http://schemas.openxmlformats.org/spreadsheetml/2006/main" id="13" name="AIIntentsTable" displayName="AIIntentsTable" ref="A1:E7" headerRowCount="1" totalsRowCount="0" totalsRowShown="0">
  <x:tableColumns count="5">
    <x:tableColumn id="1" name="intent_id"/>
    <x:tableColumn id="2" name="name_vi"/>
    <x:tableColumn id="3" name="trigger_description"/>
    <x:tableColumn id="4" name="execution"/>
    <x:tableColumn id="5" name="guardrail"/>
  </x:tableColumns>
  <x:tableStyleInfo name="TableStyleMedium2" showFirstColumn="0" showLastColumn="0" showRowStripes="1" showColumnStripes="0"/>
</x:table>
</file>

<file path=xl/tables/table14.xml><?xml version="1.0" encoding="utf-8"?>
<x:table xmlns:x="http://schemas.openxmlformats.org/spreadsheetml/2006/main" id="14" name="AIPromptTable" displayName="AIPromptTable" ref="A1:B10" headerRowCount="1" totalsRowCount="0" totalsRowShown="0">
  <x:tableColumns count="2">
    <x:tableColumn id="1" name="section"/>
    <x:tableColumn id="2" name="instruction"/>
  </x:tableColumns>
  <x:tableStyleInfo name="TableStyleMedium2" showFirstColumn="0" showLastColumn="0" showRowStripes="1" showColumnStripes="0"/>
</x:table>
</file>

<file path=xl/tables/table15.xml><?xml version="1.0" encoding="utf-8"?>
<x:table xmlns:x="http://schemas.openxmlformats.org/spreadsheetml/2006/main" id="15" name="ChatExamplesTable" displayName="ChatExamplesTable" ref="A1:E5" headerRowCount="1" totalsRowCount="0" totalsRowShown="0">
  <x:tableColumns count="5">
    <x:tableColumn id="1" name="example_id"/>
    <x:tableColumn id="2" name="user_message"/>
    <x:tableColumn id="3" name="intent"/>
    <x:tableColumn id="4" name="structured_query_example"/>
    <x:tableColumn id="5" name="expected_behavior"/>
  </x:tableColumns>
  <x:tableStyleInfo name="TableStyleMedium2" showFirstColumn="0" showLastColumn="0" showRowStripes="1" showColumnStripes="0"/>
</x:table>
</file>

<file path=xl/tables/table16.xml><?xml version="1.0" encoding="utf-8"?>
<x:table xmlns:x="http://schemas.openxmlformats.org/spreadsheetml/2006/main" id="16" name="AISelectionTestTable" displayName="AISelectionTestTable" ref="A10:P67" headerRowCount="1" totalsRowCount="0" totalsRowShown="0">
  <x:tableColumns count="16">
    <x:tableColumn id="1" name="machine_id"/>
    <x:tableColumn id="2" name="model"/>
    <x:tableColumn id="3" name="series_code"/>
    <x:tableColumn id="4" name="capacity_min"/>
    <x:tableColumn id="5" name="capacity_max"/>
    <x:tableColumn id="6" name="input_max_mm"/>
    <x:tableColumn id="7" name="fineness_min"/>
    <x:tableColumn id="8" name="fineness_max"/>
    <x:tableColumn id="9" name="unit"/>
    <x:tableColumn id="10" name="capacity_match"/>
    <x:tableColumn id="11" name="input_match"/>
    <x:tableColumn id="12" name="fineness_match"/>
    <x:tableColumn id="13" name="technical_score"/>
    <x:tableColumn id="14" name="material_adj"/>
    <x:tableColumn id="15" name="total_score"/>
    <x:tableColumn id="16"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e2e356546e14c13" /></Relationships>
</file>

<file path=xl/worksheets/_rels/sheet3.xml.rels>&#65279;<?xml version="1.0" encoding="utf-8"?><Relationships xmlns="http://schemas.openxmlformats.org/package/2006/relationships"><Relationship Type="http://schemas.openxmlformats.org/officeDocument/2006/relationships/table" Target="/xl/tables/table2.xml" Id="R1dfa23334b9e45ab" /></Relationships>
</file>

<file path=xl/worksheets/_rels/sheet4.xml.rels>&#65279;<?xml version="1.0" encoding="utf-8"?><Relationships xmlns="http://schemas.openxmlformats.org/package/2006/relationships"><Relationship Type="http://schemas.openxmlformats.org/officeDocument/2006/relationships/table" Target="/xl/tables/table3.xml" Id="Rd66af03a214b4a99" /></Relationships>
</file>

<file path=xl/worksheets/_rels/sheet5.xml.rels>&#65279;<?xml version="1.0" encoding="utf-8"?><Relationships xmlns="http://schemas.openxmlformats.org/package/2006/relationships"><Relationship Type="http://schemas.openxmlformats.org/officeDocument/2006/relationships/table" Target="/xl/tables/table4.xml" Id="Rfb20fee7026f4d62" /></Relationships>
</file>

<file path=xl/worksheets/_rels/sheet6.xml.rels>&#65279;<?xml version="1.0" encoding="utf-8"?><Relationships xmlns="http://schemas.openxmlformats.org/package/2006/relationships"><Relationship Type="http://schemas.openxmlformats.org/officeDocument/2006/relationships/table" Target="/xl/tables/table5.xml" Id="Rbfaeb1cc5613479b" /></Relationships>
</file>

<file path=xl/worksheets/_rels/sheet7.xml.rels>&#65279;<?xml version="1.0" encoding="utf-8"?><Relationships xmlns="http://schemas.openxmlformats.org/package/2006/relationships"><Relationship Type="http://schemas.openxmlformats.org/officeDocument/2006/relationships/table" Target="/xl/tables/table6.xml" Id="R2f111eac0e154bc8" /></Relationships>
</file>

<file path=xl/worksheets/_rels/sheet8.xml.rels>&#65279;<?xml version="1.0" encoding="utf-8"?><Relationships xmlns="http://schemas.openxmlformats.org/package/2006/relationships"><Relationship Type="http://schemas.openxmlformats.org/officeDocument/2006/relationships/table" Target="/xl/tables/table7.xml" Id="Re6998fa592f14cd3" /></Relationships>
</file>

<file path=xl/worksheets/_rels/sheet10.xml.rels>&#65279;<?xml version="1.0" encoding="utf-8"?><Relationships xmlns="http://schemas.openxmlformats.org/package/2006/relationships"><Relationship Type="http://schemas.openxmlformats.org/officeDocument/2006/relationships/table" Target="/xl/tables/table8.xml" Id="Rd274c67ab2bd4e86" /></Relationships>
</file>

<file path=xl/worksheets/_rels/sheet11.xml.rels>&#65279;<?xml version="1.0" encoding="utf-8"?><Relationships xmlns="http://schemas.openxmlformats.org/package/2006/relationships"><Relationship Type="http://schemas.openxmlformats.org/officeDocument/2006/relationships/table" Target="/xl/tables/table9.xml" Id="R2ae0890b68ed4656" /></Relationships>
</file>

<file path=xl/worksheets/_rels/sheet12.xml.rels>&#65279;<?xml version="1.0" encoding="utf-8"?><Relationships xmlns="http://schemas.openxmlformats.org/package/2006/relationships"><Relationship Type="http://schemas.openxmlformats.org/officeDocument/2006/relationships/table" Target="/xl/tables/table10.xml" Id="R61fbbdf0865941d6" /></Relationships>
</file>

<file path=xl/worksheets/_rels/sheet13.xml.rels>&#65279;<?xml version="1.0" encoding="utf-8"?><Relationships xmlns="http://schemas.openxmlformats.org/package/2006/relationships"><Relationship Type="http://schemas.openxmlformats.org/officeDocument/2006/relationships/table" Target="/xl/tables/table11.xml" Id="Rea131869098e4d1a" /></Relationships>
</file>

<file path=xl/worksheets/_rels/sheet14.xml.rels>&#65279;<?xml version="1.0" encoding="utf-8"?><Relationships xmlns="http://schemas.openxmlformats.org/package/2006/relationships"><Relationship Type="http://schemas.openxmlformats.org/officeDocument/2006/relationships/table" Target="/xl/tables/table12.xml" Id="R89e533f47f2e45aa" /></Relationships>
</file>

<file path=xl/worksheets/_rels/sheet15.xml.rels>&#65279;<?xml version="1.0" encoding="utf-8"?><Relationships xmlns="http://schemas.openxmlformats.org/package/2006/relationships"><Relationship Type="http://schemas.openxmlformats.org/officeDocument/2006/relationships/table" Target="/xl/tables/table13.xml" Id="R237fb37464c041ed" /></Relationships>
</file>

<file path=xl/worksheets/_rels/sheet16.xml.rels>&#65279;<?xml version="1.0" encoding="utf-8"?><Relationships xmlns="http://schemas.openxmlformats.org/package/2006/relationships"><Relationship Type="http://schemas.openxmlformats.org/officeDocument/2006/relationships/table" Target="/xl/tables/table14.xml" Id="R360e7d05e76f4549" /></Relationships>
</file>

<file path=xl/worksheets/_rels/sheet17.xml.rels>&#65279;<?xml version="1.0" encoding="utf-8"?><Relationships xmlns="http://schemas.openxmlformats.org/package/2006/relationships"><Relationship Type="http://schemas.openxmlformats.org/officeDocument/2006/relationships/table" Target="/xl/tables/table15.xml" Id="R852f83395c7c4bb2" /></Relationships>
</file>

<file path=xl/worksheets/_rels/sheet18.xml.rels>&#65279;<?xml version="1.0" encoding="utf-8"?><Relationships xmlns="http://schemas.openxmlformats.org/package/2006/relationships"><Relationship Type="http://schemas.openxmlformats.org/officeDocument/2006/relationships/table" Target="/xl/tables/table16.xml" Id="R7c6a49247eea44d5" /></Relationships>
</file>

<file path=xl/worksheets/sheet1.xml><?xml version="1.0" encoding="utf-8"?>
<x:worksheet xmlns:x="http://schemas.openxmlformats.org/spreadsheetml/2006/main">
  <x:sheetFormatPr defaultRowHeight="15"/>
  <x:cols>
    <x:col min="1" max="1" width="24" hidden="0" customWidth="1"/>
    <x:col min="2" max="2" width="74" hidden="0" customWidth="1"/>
  </x:cols>
  <x:sheetData>
    <x:row r="1" ht="30" customHeight="1">
      <x:c r="A1" s="26" t="str">
        <x:v>DTC PRODUCT – GRINDING MACHINE DATABASE (A-SERIES)</x:v>
      </x:c>
      <x:c r="B1" s="26" t="str">
        <x:v>DTC PRODUCT – GRINDING MACHINE DATABASE (A-SERIES)</x:v>
      </x:c>
      <x:c r="C1" s="26" t="str">
        <x:v>DTC PRODUCT – GRINDING MACHINE DATABASE (A-SERIES)</x:v>
      </x:c>
      <x:c r="D1" s="26" t="str">
        <x:v>DTC PRODUCT – GRINDING MACHINE DATABASE (A-SERIES)</x:v>
      </x:c>
      <x:c r="E1" s="26" t="str">
        <x:v>DTC PRODUCT – GRINDING MACHINE DATABASE (A-SERIES)</x:v>
      </x:c>
      <x:c r="F1" s="26" t="str">
        <x:v>DTC PRODUCT – GRINDING MACHINE DATABASE (A-SERIES)</x:v>
      </x:c>
      <x:c r="G1" s="26" t="str">
        <x:v>DTC PRODUCT – GRINDING MACHINE DATABASE (A-SERIES)</x:v>
      </x:c>
      <x:c r="H1" s="26" t="str">
        <x:v>DTC PRODUCT – GRINDING MACHINE DATABASE (A-SERIES)</x:v>
      </x:c>
    </x:row>
    <x:row r="2">
      <x:c r="A2" s="27"/>
      <x:c r="B2" s="27"/>
      <x:c r="C2" s="27"/>
      <x:c r="D2" s="27"/>
      <x:c r="E2" s="27"/>
      <x:c r="F2" s="27"/>
      <x:c r="G2" s="27"/>
      <x:c r="H2" s="27"/>
    </x:row>
    <x:row r="3" ht="38" customHeight="1">
      <x:c r="A3" s="12" t="str">
        <x:v>Quy ước tên model mới: chỉ đổi chữ cái đầu tiên B → A. Ví dụ BSC-200 → ASC-200, BSP-500 → ASP-500, BS-200 → AS-200.</x:v>
      </x:c>
      <x:c r="B3" s="12" t="str">
        <x:v>Quy ước tên model mới: chỉ đổi chữ cái đầu tiên B → A. Ví dụ BSC-200 → ASC-200, BSP-500 → ASP-500, BS-200 → AS-200.</x:v>
      </x:c>
      <x:c r="C3" s="12" t="str">
        <x:v>Quy ước tên model mới: chỉ đổi chữ cái đầu tiên B → A. Ví dụ BSC-200 → ASC-200, BSP-500 → ASP-500, BS-200 → AS-200.</x:v>
      </x:c>
      <x:c r="D3" s="12" t="str">
        <x:v>Quy ước tên model mới: chỉ đổi chữ cái đầu tiên B → A. Ví dụ BSC-200 → ASC-200, BSP-500 → ASP-500, BS-200 → AS-200.</x:v>
      </x:c>
      <x:c r="E3" s="12" t="str">
        <x:v>Quy ước tên model mới: chỉ đổi chữ cái đầu tiên B → A. Ví dụ BSC-200 → ASC-200, BSP-500 → ASP-500, BS-200 → AS-200.</x:v>
      </x:c>
      <x:c r="F3" s="12" t="str">
        <x:v>Quy ước tên model mới: chỉ đổi chữ cái đầu tiên B → A. Ví dụ BSC-200 → ASC-200, BSP-500 → ASP-500, BS-200 → AS-200.</x:v>
      </x:c>
      <x:c r="G3" s="12" t="str">
        <x:v>Quy ước tên model mới: chỉ đổi chữ cái đầu tiên B → A. Ví dụ BSC-200 → ASC-200, BSP-500 → ASP-500, BS-200 → AS-200.</x:v>
      </x:c>
      <x:c r="H3" s="12" t="str">
        <x:v>Quy ước tên model mới: chỉ đổi chữ cái đầu tiên B → A. Ví dụ BSC-200 → ASC-200, BSP-500 → ASP-500, BS-200 → AS-200.</x:v>
      </x:c>
    </x:row>
    <x:row r="4">
      <x:c r="A4" s="27"/>
      <x:c r="B4" s="27"/>
      <x:c r="C4" s="27"/>
      <x:c r="D4" s="27"/>
      <x:c r="E4" s="27"/>
      <x:c r="F4" s="27"/>
      <x:c r="G4" s="27"/>
      <x:c r="H4" s="27"/>
    </x:row>
    <x:row r="5">
      <x:c r="A5" s="20" t="str">
        <x:v>Thông tin</x:v>
      </x:c>
      <x:c r="B5" s="20" t="str">
        <x:v>Giá trị</x:v>
      </x:c>
      <x:c r="C5" s="27"/>
      <x:c r="D5" s="27"/>
      <x:c r="E5" s="27"/>
      <x:c r="F5" s="27"/>
      <x:c r="G5" s="27"/>
      <x:c r="H5" s="27"/>
    </x:row>
    <x:row r="6">
      <x:c r="A6" s="27" t="str">
        <x:v>Database version</x:v>
      </x:c>
      <x:c r="B6" s="27" t="str">
        <x:v>1.1</x:v>
      </x:c>
      <x:c r="C6" s="27"/>
      <x:c r="D6" s="27"/>
      <x:c r="E6" s="27"/>
      <x:c r="F6" s="27"/>
      <x:c r="G6" s="27"/>
      <x:c r="H6" s="27"/>
    </x:row>
    <x:row r="7">
      <x:c r="A7" s="27" t="str">
        <x:v>Nguồn dữ liệu</x:v>
      </x:c>
      <x:c r="B7" s="27" t="str">
        <x:v>DTC-C-MayNghien-250426-demo4.pdf</x:v>
      </x:c>
      <x:c r="C7" s="27"/>
      <x:c r="D7" s="27"/>
      <x:c r="E7" s="27"/>
      <x:c r="F7" s="27"/>
      <x:c r="G7" s="27"/>
      <x:c r="H7" s="27"/>
    </x:row>
    <x:row r="8">
      <x:c r="A8" s="27" t="str">
        <x:v>Phạm vi</x:v>
      </x:c>
      <x:c r="B8" s="27" t="str">
        <x:v>Chỉ phần MÁY NGHIỀN BỘT, PDF pages 5-20</x:v>
      </x:c>
      <x:c r="C8" s="27"/>
      <x:c r="D8" s="27"/>
      <x:c r="E8" s="27"/>
      <x:c r="F8" s="27"/>
      <x:c r="G8" s="27"/>
      <x:c r="H8" s="27"/>
    </x:row>
    <x:row r="9">
      <x:c r="A9" s="27" t="str">
        <x:v>Số dòng máy</x:v>
      </x:c>
      <x:c r="B9" s="27" t="n">
        <x:v>11</x:v>
      </x:c>
      <x:c r="C9" s="27"/>
      <x:c r="D9" s="27"/>
      <x:c r="E9" s="27"/>
      <x:c r="F9" s="27"/>
      <x:c r="G9" s="27"/>
      <x:c r="H9" s="27"/>
    </x:row>
    <x:row r="10">
      <x:c r="A10" s="27" t="str">
        <x:v>Số model</x:v>
      </x:c>
      <x:c r="B10" s="27" t="n">
        <x:v>57</x:v>
      </x:c>
      <x:c r="C10" s="27"/>
      <x:c r="D10" s="27"/>
      <x:c r="E10" s="27"/>
      <x:c r="F10" s="27"/>
      <x:c r="G10" s="27"/>
      <x:c r="H10" s="27"/>
    </x:row>
    <x:row r="11">
      <x:c r="A11" s="27"/>
      <x:c r="B11" s="27"/>
      <x:c r="C11" s="27"/>
      <x:c r="D11" s="27"/>
      <x:c r="E11" s="27"/>
      <x:c r="F11" s="27"/>
      <x:c r="G11" s="27"/>
      <x:c r="H11" s="27"/>
    </x:row>
    <x:row r="12">
      <x:c r="A12" s="27"/>
      <x:c r="B12" s="27"/>
      <x:c r="C12" s="27"/>
      <x:c r="D12" s="27"/>
      <x:c r="E12" s="27"/>
      <x:c r="F12" s="27"/>
      <x:c r="G12" s="27"/>
      <x:c r="H12" s="27"/>
    </x:row>
    <x:row r="13">
      <x:c r="A13" s="117" t="str">
        <x:v>AI READY – Các sheet mới</x:v>
      </x:c>
      <x:c r="B13" s="117" t="str">
        <x:v>AI READY – Các sheet mới</x:v>
      </x:c>
      <x:c r="C13" s="117" t="str">
        <x:v>AI READY – Các sheet mới</x:v>
      </x:c>
      <x:c r="D13" s="117" t="str">
        <x:v>AI READY – Các sheet mới</x:v>
      </x:c>
      <x:c r="E13" s="117" t="str">
        <x:v>AI READY – Các sheet mới</x:v>
      </x:c>
      <x:c r="F13" s="117" t="str">
        <x:v>AI READY – Các sheet mới</x:v>
      </x:c>
      <x:c r="G13" s="117" t="str">
        <x:v>AI READY – Các sheet mới</x:v>
      </x:c>
      <x:c r="H13" s="117" t="str">
        <x:v>AI READY – Các sheet mới</x:v>
      </x:c>
    </x:row>
    <x:row r="14">
      <x:c r="A14" s="117" t="str">
        <x:v>Materials</x:v>
      </x:c>
      <x:c r="B14" s="27" t="str">
        <x:v>Danh mục nguyên liệu + thuộc tính. Chỉ trường có nguồn xác minh mới nên dùng để tự động chọn máy.</x:v>
      </x:c>
      <x:c r="C14" s="27"/>
      <x:c r="D14" s="27"/>
      <x:c r="E14" s="27"/>
      <x:c r="F14" s="27"/>
      <x:c r="G14" s="27"/>
      <x:c r="H14" s="27"/>
    </x:row>
    <x:row r="15">
      <x:c r="A15" s="117" t="str">
        <x:v>Material_Series_Map</x:v>
      </x:c>
      <x:c r="B15" s="27" t="str">
        <x:v>Điểm cộng/trừ theo tương thích nguyên liệu và dòng máy.</x:v>
      </x:c>
      <x:c r="C15" s="27"/>
      <x:c r="D15" s="27"/>
      <x:c r="E15" s="27"/>
      <x:c r="F15" s="27"/>
      <x:c r="G15" s="27"/>
      <x:c r="H15" s="27"/>
    </x:row>
    <x:row r="16">
      <x:c r="A16" s="117" t="str">
        <x:v>AI_Config</x:v>
      </x:c>
      <x:c r="B16" s="27" t="str">
        <x:v>Trọng số, guardrail và tùy chọn hội thoại.</x:v>
      </x:c>
      <x:c r="C16" s="27"/>
      <x:c r="D16" s="27"/>
      <x:c r="E16" s="27"/>
      <x:c r="F16" s="27"/>
      <x:c r="G16" s="27"/>
      <x:c r="H16" s="27"/>
    </x:row>
    <x:row r="17">
      <x:c r="A17" s="117" t="str">
        <x:v>Selection_Rules</x:v>
      </x:c>
      <x:c r="B17" s="27" t="str">
        <x:v>Quy tắc lọc kỹ thuật và cảnh báo.</x:v>
      </x:c>
      <x:c r="C17" s="27"/>
      <x:c r="D17" s="27"/>
      <x:c r="E17" s="27"/>
      <x:c r="F17" s="27"/>
      <x:c r="G17" s="27"/>
      <x:c r="H17" s="27"/>
    </x:row>
    <x:row r="18">
      <x:c r="A18" s="117" t="str">
        <x:v>AI_Field_Map</x:v>
      </x:c>
      <x:c r="B18" s="27" t="str">
        <x:v>Map câu chat tiếng Việt thành trường dữ liệu chuẩn.</x:v>
      </x:c>
      <x:c r="C18" s="27"/>
      <x:c r="D18" s="27"/>
      <x:c r="E18" s="27"/>
      <x:c r="F18" s="27"/>
      <x:c r="G18" s="27"/>
      <x:c r="H18" s="27"/>
    </x:row>
    <x:row r="19">
      <x:c r="A19" s="117" t="str">
        <x:v>AI_Intents</x:v>
      </x:c>
      <x:c r="B19" s="27" t="str">
        <x:v>Các loại yêu cầu chatbot cần nhận diện.</x:v>
      </x:c>
      <x:c r="C19" s="27"/>
      <x:c r="D19" s="27"/>
      <x:c r="E19" s="27"/>
      <x:c r="F19" s="27"/>
      <x:c r="G19" s="27"/>
      <x:c r="H19" s="27"/>
    </x:row>
    <x:row r="20">
      <x:c r="A20" s="117" t="str">
        <x:v>AI_Prompt</x:v>
      </x:c>
      <x:c r="B20" s="27" t="str">
        <x:v>Prompt/guardrail dùng cho trợ lý AI.</x:v>
      </x:c>
      <x:c r="C20" s="27"/>
      <x:c r="D20" s="27"/>
      <x:c r="E20" s="27"/>
      <x:c r="F20" s="27"/>
      <x:c r="G20" s="27"/>
      <x:c r="H20" s="27"/>
    </x:row>
    <x:row r="21">
      <x:c r="A21" s="117" t="str">
        <x:v>Chat_Examples</x:v>
      </x:c>
      <x:c r="B21" s="27" t="str">
        <x:v>Ví dụ câu hỏi và structured query.</x:v>
      </x:c>
      <x:c r="C21" s="27"/>
      <x:c r="D21" s="27"/>
      <x:c r="E21" s="27"/>
      <x:c r="F21" s="27"/>
      <x:c r="G21" s="27"/>
      <x:c r="H21" s="27"/>
    </x:row>
    <x:row r="22">
      <x:c r="A22" s="117" t="str">
        <x:v>AI_Selection_Test</x:v>
      </x:c>
      <x:c r="B22" s="27" t="str">
        <x:v>Sheet test bộ chọn model trước khi code vào app.</x:v>
      </x:c>
      <x:c r="C22" s="27"/>
      <x:c r="D22" s="27"/>
      <x:c r="E22" s="27"/>
      <x:c r="F22" s="27"/>
      <x:c r="G22" s="27"/>
      <x:c r="H22" s="27"/>
    </x:row>
  </x:sheetData>
  <x:mergeCells>
    <x:mergeCell ref="A1:H1"/>
    <x:mergeCell ref="A3:H3"/>
    <x:mergeCell ref="A13:H13"/>
  </x:mergeCells>
  <x:pageMargins left="0.7" right="0.7" top="0.75" bottom="0.75" header="0.3" footer="0.3"/>
</x:worksheet>
</file>

<file path=xl/worksheets/sheet2.xml><?xml version="1.0" encoding="utf-8"?>
<x:worksheet xmlns:x="http://schemas.openxmlformats.org/spreadsheetml/2006/main">
  <x:sheetFormatPr defaultRowHeight="15"/>
  <x:cols>
    <x:col min="1" max="1" width="24" hidden="0" customWidth="1"/>
    <x:col min="2" max="2" width="14" hidden="0" customWidth="1"/>
    <x:col min="3" max="3" width="32" hidden="0" customWidth="1"/>
    <x:col min="4" max="4" width="30" hidden="0" customWidth="1"/>
    <x:col min="5" max="5" width="28" hidden="0" customWidth="1"/>
    <x:col min="6" max="6" width="12" hidden="0" customWidth="1"/>
    <x:col min="7" max="7" width="48" hidden="0" customWidth="1"/>
    <x:col min="8" max="8" width="55" hidden="0" customWidth="1"/>
    <x:col min="9" max="9" width="45" hidden="0" customWidth="1"/>
  </x:cols>
  <x:sheetData>
    <x:row r="1">
      <x:c r="A1" s="30" t="str">
        <x:v>series_code</x:v>
      </x:c>
      <x:c r="B1" s="31" t="str">
        <x:v>display_code</x:v>
      </x:c>
      <x:c r="C1" s="31" t="str">
        <x:v>name_vi</x:v>
      </x:c>
      <x:c r="D1" s="31" t="str">
        <x:v>name_en</x:v>
      </x:c>
      <x:c r="E1" s="31" t="str">
        <x:v>technology</x:v>
      </x:c>
      <x:c r="F1" s="31" t="str">
        <x:v>pdf_pages</x:v>
      </x:c>
      <x:c r="G1" s="31" t="str">
        <x:v>application_vi</x:v>
      </x:c>
      <x:c r="H1" s="31" t="str">
        <x:v>working_principle_vi</x:v>
      </x:c>
      <x:c r="I1" s="32" t="str">
        <x:v>notes</x:v>
      </x:c>
    </x:row>
    <x:row r="2">
      <x:c r="A2" s="47" t="str">
        <x:v>BSC_COARSE</x:v>
      </x:c>
      <x:c r="B2" s="27" t="str">
        <x:v>BSC</x:v>
      </x:c>
      <x:c r="C2" s="27" t="str">
        <x:v>Máy nghiền thô</x:v>
      </x:c>
      <x:c r="D2" s="27" t="str">
        <x:v>Coarse Crusher</x:v>
      </x:c>
      <x:c r="E2" s="27" t="str">
        <x:v>coarse_crusher</x:v>
      </x:c>
      <x:c r="F2" s="27" t="str">
        <x:v>5</x:v>
      </x:c>
      <x:c r="G2" s="27" t="str">
        <x:v>Nghiền nguyên liệu thô kích thước lớn thành từng mảnh nhỏ hơn. Máy cũng được sử dụng như máy nghiền sơ cấp trước khi chuyển đến máy nghiền bột.</x:v>
      </x:c>
      <x:c r="H2" s="27" t="str">
        <x:v>Nguyên liệu được cấp vào buồng nghiền từ phễu nạp, sau đó được nghiền nhỏ nhờ sự kết hợp của dao quay và lưỡi dao cố định. Quá trình diễn ra dưới tác động của lực va đập, cắt và lực ly tâm, giúp nguyên liệu sau khi nghiền tự động thoát ra ngoài.</x:v>
      </x:c>
      <x:c r="I2" s="48" t="str">
        <x:v>Dùng làm nghiền sơ cấp.</x:v>
      </x:c>
    </x:row>
    <x:row r="3">
      <x:c r="A3" s="47" t="str">
        <x:v>BS_SMALL_HAMMER</x:v>
      </x:c>
      <x:c r="B3" s="27" t="str">
        <x:v>BS</x:v>
      </x:c>
      <x:c r="C3" s="27" t="str">
        <x:v>Máy nghiền búa tốc độ cao dạng nhỏ</x:v>
      </x:c>
      <x:c r="D3" s="27" t="str">
        <x:v>Small High-Speed Hammer Mill</x:v>
      </x:c>
      <x:c r="E3" s="27" t="str">
        <x:v>high_speed_hammer</x:v>
      </x:c>
      <x:c r="F3" s="27" t="str">
        <x:v>6</x:v>
      </x:c>
      <x:c r="G3" s="27" t="str">
        <x:v>Sử dụng rộng rãi trong thực phẩm, hóa chất, dược phẩm và các ngành công nghiệp khác. Cấu trúc đơn giản, nhỏ gọn, dễ lắp đặt và sử dụng. Có thể tùy chỉnh lưỡi dao phù hợp nguyên liệu và yêu cầu kích thước bột.</x:v>
      </x:c>
      <x:c r="H3" s="27" t="str">
        <x:v>Nguyên liệu được cắt nhỏ bằng lưỡi dao quay tốc độ cao trong buồng nghiền. Độ mịn được điều chỉnh bằng cách thay đổi lưới lọc. Lưỡi dao phù hợp với nguyên liệu giàu xơ hoặc nguyên liệu thô cứng.</x:v>
      </x:c>
      <x:c r="I3" s="48" t="str">
        <x:v>Có lưỡi dao dạng búa và dạng cắt.</x:v>
      </x:c>
    </x:row>
    <x:row r="4">
      <x:c r="A4" s="47" t="str">
        <x:v>BSU_UNIVERSAL</x:v>
      </x:c>
      <x:c r="B4" s="27" t="str">
        <x:v>BSU</x:v>
      </x:c>
      <x:c r="C4" s="27" t="str">
        <x:v>Máy nghiền đa năng - máy đơn</x:v>
      </x:c>
      <x:c r="D4" s="27" t="str">
        <x:v>Universal Mill</x:v>
      </x:c>
      <x:c r="E4" s="27" t="str">
        <x:v>universal_mill</x:v>
      </x:c>
      <x:c r="F4" s="27" t="str">
        <x:v>7-8</x:v>
      </x:c>
      <x:c r="G4" s="27" t="str">
        <x:v>Ứng dụng rộng trong thực phẩm, hóa chất, thức ăn chăn nuôi và dược phẩm. Kích thước bột có thể điều chỉnh bằng loại lưỡi dao, tốc độ rotor và lưới lọc.</x:v>
      </x:c>
      <x:c r="H4" s="27" t="str">
        <x:v>Máy nghiền đa năng dạng máy đơn; độ mịn được kiểm soát bởi rotor, lưỡi dao và lưới lọc.</x:v>
      </x:c>
      <x:c r="I4" s="48" t="str">
        <x:v>Phiên bản máy đơn.</x:v>
      </x:c>
    </x:row>
    <x:row r="5">
      <x:c r="A5" s="47" t="str">
        <x:v>BSG_UNIVERSAL_SYSTEM</x:v>
      </x:c>
      <x:c r="B5" s="27" t="str">
        <x:v>BSG</x:v>
      </x:c>
      <x:c r="C5" s="27" t="str">
        <x:v>Máy nghiền đa năng kèm hệ thống gió khử bụi</x:v>
      </x:c>
      <x:c r="D5" s="27" t="str">
        <x:v>Universal Grinding System</x:v>
      </x:c>
      <x:c r="E5" s="27" t="str">
        <x:v>universal_mill_with_dust_system</x:v>
      </x:c>
      <x:c r="F5" s="27" t="str">
        <x:v>7-8</x:v>
      </x:c>
      <x:c r="G5" s="27" t="str">
        <x:v>Ứng dụng rộng trong thực phẩm, hóa chất, thức ăn chăn nuôi và dược phẩm. Máy nghiền tích hợp hệ thống gió/thu bụi dạng lốc xoáy.</x:v>
      </x:c>
      <x:c r="H5" s="27" t="str">
        <x:v>Nghiền bằng rotor/lưỡi dao và lưới lọc, kết hợp máy thổi khí và động cơ xả để vận chuyển và thu gom sản phẩm.</x:v>
      </x:c>
      <x:c r="I5" s="48" t="str">
        <x:v>Kèm hệ thống gió khử bụi.</x:v>
      </x:c>
    </x:row>
    <x:row r="6">
      <x:c r="A6" s="47" t="str">
        <x:v>BSP_ULTRAFINE</x:v>
      </x:c>
      <x:c r="B6" s="27" t="str">
        <x:v>BSP</x:v>
      </x:c>
      <x:c r="C6" s="27" t="str">
        <x:v>Bộ nghiền bột siêu mịn</x:v>
      </x:c>
      <x:c r="D6" s="27" t="str">
        <x:v>Ultra-Fine Air Classifier Mill</x:v>
      </x:c>
      <x:c r="E6" s="27" t="str">
        <x:v>air_classifier_mill</x:v>
      </x:c>
      <x:c r="F6" s="27" t="str">
        <x:v>9-11</x:v>
      </x:c>
      <x:c r="G6" s="27" t="str">
        <x:v>Máy nghiền chuyên dụng để sản xuất bột siêu mịn. Kết hợp làm nguội bột và phân loại không khí có kiểm soát; dùng trong hóa chất, thực phẩm, khoáng sản và sơn phủ.</x:v>
      </x:c>
      <x:c r="H6" s="27" t="str">
        <x:v>Nguyên liệu được cấp bằng vít vào buồng nghiền, va đập với rotor và lớp lót cố định. Sản phẩm được dòng khí làm mát, vận chuyển và đưa qua bộ phân loại động tích hợp. Hạt thô quay lại vùng nghiền; hạt mịn đi qua bánh phân loại, cyclone và được xả thành phẩm. Điểm cắt phụ thuộc tốc độ bánh phân loại.</x:v>
      </x:c>
      <x:c r="I6" s="48" t="str">
        <x:v>Có phân loại trên/dưới; dao vuông cho bột siêu mịn, nguyên liệu cứng/giàu xơ; dao hình trụ cho vật liệu giòn/dễ vỡ/kết tinh.</x:v>
      </x:c>
    </x:row>
    <x:row r="7">
      <x:c r="A7" s="47" t="str">
        <x:v>BSZ_PIN</x:v>
      </x:c>
      <x:c r="B7" s="27" t="str">
        <x:v>BSZ</x:v>
      </x:c>
      <x:c r="C7" s="27" t="str">
        <x:v>Máy nghiền chốt</x:v>
      </x:c>
      <x:c r="D7" s="27" t="str">
        <x:v>Pin Mill</x:v>
      </x:c>
      <x:c r="E7" s="27" t="str">
        <x:v>pin_mill</x:v>
      </x:c>
      <x:c r="F7" s="27" t="str">
        <x:v>11-13</x:v>
      </x:c>
      <x:c r="G7" s="27" t="str">
        <x:v>Máy nghiền va đập mịn với hai đĩa chốt quay. Có thể xử lý sản phẩm ẩm, dầu và dính. Buồng rộng phù hợp các sản phẩm này; có thể kết nối nitơ lỏng để làm mát. Có thể hoạt động độc lập và phù hợp sản phẩm dạng nhão như bột mịn cacao.</x:v>
      </x:c>
      <x:c r="H7" s="27" t="str">
        <x:v>Hai đĩa chốt quay tạo tốc độ tương đối cao; độ mịn điều chỉnh bằng thay đổi tốc độ các đĩa. Lực ly tâm hỗ trợ xử lý nguyên liệu ẩm, dầu và dính.</x:v>
      </x:c>
      <x:c r="I7" s="48" t="str">
        <x:v>Loại A cho bột chảy kém như bột gia vị; Loại B cho bột có khả năng chảy tốt.</x:v>
      </x:c>
    </x:row>
    <x:row r="8">
      <x:c r="A8" s="47" t="str">
        <x:v>BSF_BS_HAMMER</x:v>
      </x:c>
      <x:c r="B8" s="27" t="str">
        <x:v>BSF/BS</x:v>
      </x:c>
      <x:c r="C8" s="27" t="str">
        <x:v>Máy nghiền hiệu suất cao / Máy nghiền búa</x:v>
      </x:c>
      <x:c r="D8" s="27" t="str">
        <x:v>High-Efficiency / Hammer Mill</x:v>
      </x:c>
      <x:c r="E8" s="27" t="str">
        <x:v>hammer_mill</x:v>
      </x:c>
      <x:c r="F8" s="27" t="str">
        <x:v>14-15</x:v>
      </x:c>
      <x:c r="G8" s="27" t="str">
        <x:v>BSF được sử dụng rộng rãi trong nhà máy thực phẩm và dược phẩm. Có hai kiểu nghiền: kiểu búa phù hợp nghiền bột; kiểu dao phù hợp nghiền hạt hoặc bột thô. Dòng BS phù hợp sản xuất công suất lớn hoặc liên tục không bụi.</x:v>
      </x:c>
      <x:c r="H8" s="27" t="str">
        <x:v>Nghiền bằng kiểu búa hoặc kiểu dao. Các model BS hệ thống có động cơ xả và máy thổi khí để hỗ trợ sản xuất liên tục.</x:v>
      </x:c>
      <x:c r="I8" s="48" t="str">
        <x:v>BSF-15/32 là dạng đơn; BS-200 trở lên có cấu hình hệ thống theo bảng.</x:v>
      </x:c>
    </x:row>
    <x:row r="9">
      <x:c r="A9" s="47" t="str">
        <x:v>BSDF_MULTISTAGE</x:v>
      </x:c>
      <x:c r="B9" s="27" t="str">
        <x:v>BSDF</x:v>
      </x:c>
      <x:c r="C9" s="27" t="str">
        <x:v>Máy nghiền búa nhiều tầng</x:v>
      </x:c>
      <x:c r="D9" s="27" t="str">
        <x:v>Multi-Stage Hammer Mill</x:v>
      </x:c>
      <x:c r="E9" s="27" t="str">
        <x:v>multi_stage_hammer</x:v>
      </x:c>
      <x:c r="F9" s="27" t="str">
        <x:v>15-17</x:v>
      </x:c>
      <x:c r="G9" s="27" t="str">
        <x:v>Nghiền ba lần trong cùng buồng nghiền qua ba vùng: thô, trung bình và mịn. Có thể nghiền bột mịn trực tiếp từ nguyên liệu thô lớn; tích hợp cyclone, lọc bụi, quạt hút và tủ điều khiển.</x:v>
      </x:c>
      <x:c r="H9" s="27" t="str">
        <x:v>Nguyên liệu đi qua ba nhóm dao tốc độ cao theo thứ tự. Thiết bị giữa vùng trung bình và mịn ngăn hạt thô đi vào vùng mịn. Tốc độ rotor điều khiển bằng biến tần để điều chỉnh kích thước hạt.</x:v>
      </x:c>
      <x:c r="I9" s="48" t="str">
        <x:v>PDF trang 17 hiển thị tiêu đề 'BSC Máy nghiền thô' nhưng nội dung, hình và bảng đều là BSDF; database giữ BSDF và ghi nhận trong bảng data_corrections.</x:v>
      </x:c>
    </x:row>
    <x:row r="10">
      <x:c r="A10" s="47" t="str">
        <x:v>BS_ROLLER</x:v>
      </x:c>
      <x:c r="B10" s="27" t="str">
        <x:v>BS</x:v>
      </x:c>
      <x:c r="C10" s="27" t="str">
        <x:v>Máy nghiền con lăn</x:v>
      </x:c>
      <x:c r="D10" s="27" t="str">
        <x:v>Roller Mill</x:v>
      </x:c>
      <x:c r="E10" s="27" t="str">
        <x:v>roller_mill</x:v>
      </x:c>
      <x:c r="F10" s="27" t="str">
        <x:v>18</x:v>
      </x:c>
      <x:c r="G10" s="27" t="str">
        <x:v>Dùng rộng rãi trong thực phẩm, đặc biệt cho nguyên liệu dầu như vừng, lạc (đậu phộng) và hạnh nhân; có thể nghiền thành bột khoảng 10-40 mesh.</x:v>
      </x:c>
      <x:c r="H10" s="27" t="str">
        <x:v>Nguyên liệu được đưa vào vùng con lăn và nghiền bằng lực ép. Kích thước bột điều chỉnh bằng khoảng cách giữa hai con lăn. Bản tiêu chuẩn có ba con lăn; bản bốn con lăn dùng khi cần bột mịn hơn.</x:v>
      </x:c>
      <x:c r="I10" s="48" t="str">
        <x:v>3-roller và 4-roller.</x:v>
      </x:c>
    </x:row>
    <x:row r="11">
      <x:c r="A11" s="47" t="str">
        <x:v>BSK_JET</x:v>
      </x:c>
      <x:c r="B11" s="27" t="str">
        <x:v>BSK</x:v>
      </x:c>
      <x:c r="C11" s="27" t="str">
        <x:v>Máy nghiền khí nén</x:v>
      </x:c>
      <x:c r="D11" s="27" t="str">
        <x:v>Jet Mill</x:v>
      </x:c>
      <x:c r="E11" s="27" t="str">
        <x:v>jet_mill</x:v>
      </x:c>
      <x:c r="F11" s="27" t="str">
        <x:v>19</x:v>
      </x:c>
      <x:c r="G11" s="27" t="str">
        <x:v>Sử dụng khí nén tốc độ cao để tạo vùng va đập, nơi các hạt tự nghiền lẫn nhau; sau nghiền, bột được phân loại và thu gom qua cyclone/bộ thu bụi.</x:v>
      </x:c>
      <x:c r="H11" s="27" t="str">
        <x:v>Cấp liệu trục vít đưa nguyên liệu ổn định vào máy. Khí nén qua vòi phun đạt vận tốc cao tạo va đập. Bột đi vào buồng phân loại; hạt mịn đi qua bánh phân loại vào cyclone, hạt thô quay lại buồng nghiền.</x:v>
      </x:c>
      <x:c r="I11" s="48" t="str">
        <x:v>Đơn vị tiêu thụ khí nén được giữ nguyên theo PDF là m3/giây và được đánh dấu cần xác minh trước khi dùng thiết kế.</x:v>
      </x:c>
    </x:row>
    <x:row r="12">
      <x:c r="A12" s="49" t="str">
        <x:v>BS_CRYOGENIC</x:v>
      </x:c>
      <x:c r="B12" s="50" t="str">
        <x:v>BS</x:v>
      </x:c>
      <x:c r="C12" s="50" t="str">
        <x:v>Máy nghiền làm lạnh</x:v>
      </x:c>
      <x:c r="D12" s="50" t="str">
        <x:v>Cryogenic Grinder</x:v>
      </x:c>
      <x:c r="E12" s="50" t="str">
        <x:v>cryogenic_grinding</x:v>
      </x:c>
      <x:c r="F12" s="50" t="str">
        <x:v>20</x:v>
      </x:c>
      <x:c r="G12" s="50" t="str">
        <x:v>Sử dụng nitơ lỏng làm môi trường làm mát để nghiền vật liệu nhạy nhiệt thành bột mịn như trái cây, rau, thảo mộc, thuốc, nhựa, cao su; giúp bảo quản dưỡng chất ở nhiệt độ thấp.</x:v>
      </x:c>
      <x:c r="H12" s="50" t="str">
        <x:v>Nghiền trong môi trường nitơ lỏng, nhiệt độ thấp; tải và xả bằng truyền tải trục vít.</x:v>
      </x:c>
      <x:c r="I12" s="51" t="str">
        <x:v>Nhiệt độ nguồn ghi -196 đến 0 °C.</x:v>
      </x:c>
    </x:row>
  </x:sheetData>
  <x:pageMargins left="0.7" right="0.7" top="0.75" bottom="0.75" header="0.3" footer="0.3"/>
  <x:tableParts count="1">
    <x:tablePart xmlns:r="http://schemas.openxmlformats.org/officeDocument/2006/relationships" r:id="R3e2e356546e14c13"/>
  </x:tableParts>
</x:worksheet>
</file>

<file path=xl/worksheets/sheet3.xml><?xml version="1.0" encoding="utf-8"?>
<x:worksheet xmlns:x="http://schemas.openxmlformats.org/spreadsheetml/2006/main">
  <x:sheetFormatPr defaultRowHeight="15"/>
  <x:cols>
    <x:col min="1" max="1" width="30" hidden="0" customWidth="1"/>
    <x:col min="2" max="2" width="12" hidden="0" customWidth="1"/>
    <x:col min="3" max="3" width="24" hidden="0" customWidth="1"/>
    <x:col min="4" max="4" width="16" hidden="0" customWidth="1"/>
    <x:col min="5" max="5" width="10" hidden="0" customWidth="1"/>
    <x:col min="6" max="6" width="10" hidden="0" customWidth="1"/>
    <x:col min="7" max="7" width="16" hidden="0" customWidth="1"/>
    <x:col min="8" max="8" width="16" hidden="0" customWidth="1"/>
    <x:col min="9" max="9" width="16" hidden="0" customWidth="1"/>
    <x:col min="10" max="10" width="34" hidden="0" customWidth="1"/>
    <x:col min="11" max="11" width="14" hidden="0" customWidth="1"/>
    <x:col min="12" max="12" width="14" hidden="0" customWidth="1"/>
    <x:col min="13" max="13" width="12" hidden="0" customWidth="1"/>
    <x:col min="14" max="14" width="16" hidden="0" customWidth="1"/>
    <x:col min="15" max="15" width="16" hidden="0" customWidth="1"/>
    <x:col min="16" max="16" width="14" hidden="0" customWidth="1"/>
    <x:col min="17" max="17" width="14" hidden="0" customWidth="1"/>
    <x:col min="18" max="18" width="12" hidden="0" customWidth="1"/>
    <x:col min="19" max="19" width="12" hidden="0" customWidth="1"/>
    <x:col min="20" max="20" width="12" hidden="0" customWidth="1"/>
    <x:col min="21" max="21" width="12" hidden="0" customWidth="1"/>
    <x:col min="22" max="22" width="34" hidden="0" customWidth="1"/>
    <x:col min="23" max="23" width="34" hidden="0" customWidth="1"/>
  </x:cols>
  <x:sheetData>
    <x:row r="1">
      <x:c r="A1" s="30" t="str">
        <x:v>machine_id</x:v>
      </x:c>
      <x:c r="B1" s="31" t="str">
        <x:v>ID Check</x:v>
      </x:c>
      <x:c r="C1" s="31" t="str">
        <x:v>series_code</x:v>
      </x:c>
      <x:c r="D1" s="31" t="str">
        <x:v>model</x:v>
      </x:c>
      <x:c r="E1" s="31" t="str">
        <x:v>active</x:v>
      </x:c>
      <x:c r="F1" s="31" t="str">
        <x:v>pdf_page</x:v>
      </x:c>
      <x:c r="G1" s="31" t="str">
        <x:v>capacity_min_kg_h</x:v>
      </x:c>
      <x:c r="H1" s="31" t="str">
        <x:v>capacity_max_kg_h</x:v>
      </x:c>
      <x:c r="I1" s="31" t="str">
        <x:v>input_size_max_mm</x:v>
      </x:c>
      <x:c r="J1" s="31" t="str">
        <x:v>input_size_note</x:v>
      </x:c>
      <x:c r="K1" s="31" t="str">
        <x:v>fineness_min</x:v>
      </x:c>
      <x:c r="L1" s="31" t="str">
        <x:v>fineness_max</x:v>
      </x:c>
      <x:c r="M1" s="31" t="str">
        <x:v>fineness_unit</x:v>
      </x:c>
      <x:c r="N1" s="31" t="str">
        <x:v>main_motor_kw_min</x:v>
      </x:c>
      <x:c r="O1" s="31" t="str">
        <x:v>main_motor_kw_max</x:v>
      </x:c>
      <x:c r="P1" s="31" t="str">
        <x:v>speed_rpm_min</x:v>
      </x:c>
      <x:c r="Q1" s="31" t="str">
        <x:v>speed_rpm_max</x:v>
      </x:c>
      <x:c r="R1" s="31" t="str">
        <x:v>length_mm</x:v>
      </x:c>
      <x:c r="S1" s="31" t="str">
        <x:v>width_mm</x:v>
      </x:c>
      <x:c r="T1" s="31" t="str">
        <x:v>height_mm</x:v>
      </x:c>
      <x:c r="U1" s="31" t="str">
        <x:v>weight_kg</x:v>
      </x:c>
      <x:c r="V1" s="31" t="str">
        <x:v>source_document</x:v>
      </x:c>
      <x:c r="W1" s="32" t="str">
        <x:v>edit_note</x:v>
      </x:c>
    </x:row>
    <x:row r="2">
      <x:c r="A2" s="47" t="str">
        <x:v>BSC_COARSE__ASC-200</x:v>
      </x:c>
      <x:c r="B2" s="27" t="str">
        <x:f>IF(A2=C2&amp;"__"&amp;SUBSTITUTE(SUBSTITUTE(D2,"/","_")," ","_"),"OK","CHECK ID")</x:f>
        <x:v>OK</x:v>
      </x:c>
      <x:c r="C2" s="27" t="str">
        <x:v>BSC_COARSE</x:v>
      </x:c>
      <x:c r="D2" s="27" t="str">
        <x:v>ASC-200</x:v>
      </x:c>
      <x:c r="E2" s="62" t="b">
        <x:v>1</x:v>
      </x:c>
      <x:c r="F2" s="27" t="n">
        <x:v>5</x:v>
      </x:c>
      <x:c r="G2" s="27" t="n">
        <x:v>80</x:v>
      </x:c>
      <x:c r="H2" s="27" t="n">
        <x:v>300</x:v>
      </x:c>
      <x:c r="I2" s="27" t="n">
        <x:v>100</x:v>
      </x:c>
      <x:c r="J2" s="27" t="str">
        <x:v>&lt; 100 mm</x:v>
      </x:c>
      <x:c r="K2" s="27" t="n">
        <x:v>0.5</x:v>
      </x:c>
      <x:c r="L2" s="27" t="n">
        <x:v>20</x:v>
      </x:c>
      <x:c r="M2" s="27" t="str">
        <x:v>mm</x:v>
      </x:c>
      <x:c r="N2" s="27" t="n">
        <x:v>3</x:v>
      </x:c>
      <x:c r="O2" s="27" t="n">
        <x:v>3</x:v>
      </x:c>
      <x:c r="P2" s="27" t="n">
        <x:v>530</x:v>
      </x:c>
      <x:c r="Q2" s="27" t="n">
        <x:v>530</x:v>
      </x:c>
      <x:c r="R2" s="27" t="n">
        <x:v>600</x:v>
      </x:c>
      <x:c r="S2" s="27" t="n">
        <x:v>500</x:v>
      </x:c>
      <x:c r="T2" s="27" t="n">
        <x:v>1228</x:v>
      </x:c>
      <x:c r="U2" s="27" t="n">
        <x:v>200</x:v>
      </x:c>
      <x:c r="V2" s="27" t="str">
        <x:v>DTC-C-MayNghien-250426-demo4.pdf</x:v>
      </x:c>
      <x:c r="W2" s="48" t="str">
        <x:v>Đổi ký tự đầu của model từ B thành A.</x:v>
      </x:c>
    </x:row>
    <x:row r="3">
      <x:c r="A3" s="47" t="str">
        <x:v>BSC_COARSE__ASC-300</x:v>
      </x:c>
      <x:c r="B3" s="27" t="str">
        <x:f>IF(A3=C3&amp;"__"&amp;SUBSTITUTE(SUBSTITUTE(D3,"/","_")," ","_"),"OK","CHECK ID")</x:f>
        <x:v>OK</x:v>
      </x:c>
      <x:c r="C3" s="27" t="str">
        <x:v>BSC_COARSE</x:v>
      </x:c>
      <x:c r="D3" s="27" t="str">
        <x:v>ASC-300</x:v>
      </x:c>
      <x:c r="E3" s="62" t="b">
        <x:v>1</x:v>
      </x:c>
      <x:c r="F3" s="27" t="n">
        <x:v>5</x:v>
      </x:c>
      <x:c r="G3" s="27" t="n">
        <x:v>100</x:v>
      </x:c>
      <x:c r="H3" s="27" t="n">
        <x:v>800</x:v>
      </x:c>
      <x:c r="I3" s="27" t="n">
        <x:v>100</x:v>
      </x:c>
      <x:c r="J3" s="27" t="str">
        <x:v>&lt; 100 mm</x:v>
      </x:c>
      <x:c r="K3" s="27" t="n">
        <x:v>0.5</x:v>
      </x:c>
      <x:c r="L3" s="27" t="n">
        <x:v>20</x:v>
      </x:c>
      <x:c r="M3" s="27" t="str">
        <x:v>mm</x:v>
      </x:c>
      <x:c r="N3" s="27" t="n">
        <x:v>5.5</x:v>
      </x:c>
      <x:c r="O3" s="27" t="n">
        <x:v>5.5</x:v>
      </x:c>
      <x:c r="P3" s="27" t="n">
        <x:v>530</x:v>
      </x:c>
      <x:c r="Q3" s="27" t="n">
        <x:v>530</x:v>
      </x:c>
      <x:c r="R3" s="27" t="n">
        <x:v>720</x:v>
      </x:c>
      <x:c r="S3" s="27" t="n">
        <x:v>700</x:v>
      </x:c>
      <x:c r="T3" s="27" t="n">
        <x:v>1303</x:v>
      </x:c>
      <x:c r="U3" s="27" t="n">
        <x:v>300</x:v>
      </x:c>
      <x:c r="V3" s="27" t="str">
        <x:v>DTC-C-MayNghien-250426-demo4.pdf</x:v>
      </x:c>
      <x:c r="W3" s="48" t="str">
        <x:v>Đổi ký tự đầu của model từ B thành A.</x:v>
      </x:c>
    </x:row>
    <x:row r="4">
      <x:c r="A4" s="47" t="str">
        <x:v>BSC_COARSE__ASC-400</x:v>
      </x:c>
      <x:c r="B4" s="27" t="str">
        <x:f>IF(A4=C4&amp;"__"&amp;SUBSTITUTE(SUBSTITUTE(D4,"/","_")," ","_"),"OK","CHECK ID")</x:f>
        <x:v>OK</x:v>
      </x:c>
      <x:c r="C4" s="27" t="str">
        <x:v>BSC_COARSE</x:v>
      </x:c>
      <x:c r="D4" s="27" t="str">
        <x:v>ASC-400</x:v>
      </x:c>
      <x:c r="E4" s="62" t="b">
        <x:v>1</x:v>
      </x:c>
      <x:c r="F4" s="27" t="n">
        <x:v>5</x:v>
      </x:c>
      <x:c r="G4" s="27" t="n">
        <x:v>200</x:v>
      </x:c>
      <x:c r="H4" s="27" t="n">
        <x:v>1000</x:v>
      </x:c>
      <x:c r="I4" s="27" t="n">
        <x:v>100</x:v>
      </x:c>
      <x:c r="J4" s="27" t="str">
        <x:v>&lt; 100 mm</x:v>
      </x:c>
      <x:c r="K4" s="27" t="n">
        <x:v>0.5</x:v>
      </x:c>
      <x:c r="L4" s="27" t="n">
        <x:v>20</x:v>
      </x:c>
      <x:c r="M4" s="27" t="str">
        <x:v>mm</x:v>
      </x:c>
      <x:c r="N4" s="27" t="n">
        <x:v>7.5</x:v>
      </x:c>
      <x:c r="O4" s="27" t="n">
        <x:v>7.5</x:v>
      </x:c>
      <x:c r="P4" s="27" t="n">
        <x:v>530</x:v>
      </x:c>
      <x:c r="Q4" s="27" t="n">
        <x:v>530</x:v>
      </x:c>
      <x:c r="R4" s="27" t="n">
        <x:v>900</x:v>
      </x:c>
      <x:c r="S4" s="27" t="n">
        <x:v>700</x:v>
      </x:c>
      <x:c r="T4" s="27" t="n">
        <x:v>1306</x:v>
      </x:c>
      <x:c r="U4" s="27" t="n">
        <x:v>380</x:v>
      </x:c>
      <x:c r="V4" s="27" t="str">
        <x:v>DTC-C-MayNghien-250426-demo4.pdf</x:v>
      </x:c>
      <x:c r="W4" s="48" t="str">
        <x:v>Đổi ký tự đầu của model từ B thành A.</x:v>
      </x:c>
    </x:row>
    <x:row r="5">
      <x:c r="A5" s="47" t="str">
        <x:v>BSC_COARSE__ASC-600</x:v>
      </x:c>
      <x:c r="B5" s="27" t="str">
        <x:f>IF(A5=C5&amp;"__"&amp;SUBSTITUTE(SUBSTITUTE(D5,"/","_")," ","_"),"OK","CHECK ID")</x:f>
        <x:v>OK</x:v>
      </x:c>
      <x:c r="C5" s="27" t="str">
        <x:v>BSC_COARSE</x:v>
      </x:c>
      <x:c r="D5" s="27" t="str">
        <x:v>ASC-600</x:v>
      </x:c>
      <x:c r="E5" s="62" t="b">
        <x:v>1</x:v>
      </x:c>
      <x:c r="F5" s="27" t="n">
        <x:v>5</x:v>
      </x:c>
      <x:c r="G5" s="27" t="n">
        <x:v>500</x:v>
      </x:c>
      <x:c r="H5" s="27" t="n">
        <x:v>1500</x:v>
      </x:c>
      <x:c r="I5" s="27" t="n">
        <x:v>100</x:v>
      </x:c>
      <x:c r="J5" s="27" t="str">
        <x:v>&lt; 100 mm</x:v>
      </x:c>
      <x:c r="K5" s="27" t="n">
        <x:v>0.5</x:v>
      </x:c>
      <x:c r="L5" s="27" t="n">
        <x:v>20</x:v>
      </x:c>
      <x:c r="M5" s="27" t="str">
        <x:v>mm</x:v>
      </x:c>
      <x:c r="N5" s="27" t="n">
        <x:v>11</x:v>
      </x:c>
      <x:c r="O5" s="27" t="n">
        <x:v>11</x:v>
      </x:c>
      <x:c r="P5" s="27" t="n">
        <x:v>530</x:v>
      </x:c>
      <x:c r="Q5" s="27" t="n">
        <x:v>530</x:v>
      </x:c>
      <x:c r="R5" s="27" t="n">
        <x:v>1020</x:v>
      </x:c>
      <x:c r="S5" s="27" t="n">
        <x:v>700</x:v>
      </x:c>
      <x:c r="T5" s="27" t="n">
        <x:v>1306</x:v>
      </x:c>
      <x:c r="U5" s="27" t="n">
        <x:v>500</x:v>
      </x:c>
      <x:c r="V5" s="27" t="str">
        <x:v>DTC-C-MayNghien-250426-demo4.pdf</x:v>
      </x:c>
      <x:c r="W5" s="48" t="str">
        <x:v>Đổi ký tự đầu của model từ B thành A.</x:v>
      </x:c>
    </x:row>
    <x:row r="6">
      <x:c r="A6" s="47" t="str">
        <x:v>BSC_COARSE__ASC-1000</x:v>
      </x:c>
      <x:c r="B6" s="27" t="str">
        <x:f>IF(A6=C6&amp;"__"&amp;SUBSTITUTE(SUBSTITUTE(D6,"/","_")," ","_"),"OK","CHECK ID")</x:f>
        <x:v>OK</x:v>
      </x:c>
      <x:c r="C6" s="27" t="str">
        <x:v>BSC_COARSE</x:v>
      </x:c>
      <x:c r="D6" s="27" t="str">
        <x:v>ASC-1000</x:v>
      </x:c>
      <x:c r="E6" s="62" t="b">
        <x:v>1</x:v>
      </x:c>
      <x:c r="F6" s="27" t="n">
        <x:v>5</x:v>
      </x:c>
      <x:c r="G6" s="27" t="n">
        <x:v>1000</x:v>
      </x:c>
      <x:c r="H6" s="27" t="n">
        <x:v>2500</x:v>
      </x:c>
      <x:c r="I6" s="27" t="n">
        <x:v>100</x:v>
      </x:c>
      <x:c r="J6" s="27" t="str">
        <x:v>&lt; 100 mm</x:v>
      </x:c>
      <x:c r="K6" s="27" t="n">
        <x:v>0.5</x:v>
      </x:c>
      <x:c r="L6" s="27" t="n">
        <x:v>20</x:v>
      </x:c>
      <x:c r="M6" s="27" t="str">
        <x:v>mm</x:v>
      </x:c>
      <x:c r="N6" s="27" t="n">
        <x:v>15</x:v>
      </x:c>
      <x:c r="O6" s="27" t="n">
        <x:v>15</x:v>
      </x:c>
      <x:c r="P6" s="27" t="n">
        <x:v>540</x:v>
      </x:c>
      <x:c r="Q6" s="27" t="n">
        <x:v>540</x:v>
      </x:c>
      <x:c r="R6" s="27" t="n">
        <x:v>1330</x:v>
      </x:c>
      <x:c r="S6" s="27" t="n">
        <x:v>850</x:v>
      </x:c>
      <x:c r="T6" s="27" t="n">
        <x:v>1826</x:v>
      </x:c>
      <x:c r="U6" s="27" t="n">
        <x:v>1000</x:v>
      </x:c>
      <x:c r="V6" s="27" t="str">
        <x:v>DTC-C-MayNghien-250426-demo4.pdf</x:v>
      </x:c>
      <x:c r="W6" s="48" t="str">
        <x:v>Đổi ký tự đầu của model từ B thành A.</x:v>
      </x:c>
    </x:row>
    <x:row r="7">
      <x:c r="A7" s="47" t="str">
        <x:v>BS_SMALL_HAMMER__AS-180</x:v>
      </x:c>
      <x:c r="B7" s="27" t="str">
        <x:f>IF(A7=C7&amp;"__"&amp;SUBSTITUTE(SUBSTITUTE(D7,"/","_")," ","_"),"OK","CHECK ID")</x:f>
        <x:v>OK</x:v>
      </x:c>
      <x:c r="C7" s="27" t="str">
        <x:v>BS_SMALL_HAMMER</x:v>
      </x:c>
      <x:c r="D7" s="27" t="str">
        <x:v>AS-180</x:v>
      </x:c>
      <x:c r="E7" s="62" t="b">
        <x:v>1</x:v>
      </x:c>
      <x:c r="F7" s="27" t="n">
        <x:v>6</x:v>
      </x:c>
      <x:c r="G7" s="27" t="n">
        <x:v>3</x:v>
      </x:c>
      <x:c r="H7" s="27" t="n">
        <x:v>50</x:v>
      </x:c>
      <x:c r="I7" s="27" t="n">
        <x:v>10</x:v>
      </x:c>
      <x:c r="J7" s="27" t="str">
        <x:v>&lt;10 mm cho nguyên liệu hạt; &lt;15×40×2 mm cho nguyên liệu lá</x:v>
      </x:c>
      <x:c r="K7" s="27" t="n">
        <x:v>10</x:v>
      </x:c>
      <x:c r="L7" s="27" t="n">
        <x:v>120</x:v>
      </x:c>
      <x:c r="M7" s="27" t="str">
        <x:v>mesh</x:v>
      </x:c>
      <x:c r="N7" s="27" t="n">
        <x:v>2.2</x:v>
      </x:c>
      <x:c r="O7" s="27" t="n">
        <x:v>2.2</x:v>
      </x:c>
      <x:c r="P7" s="27" t="n">
        <x:v>5900</x:v>
      </x:c>
      <x:c r="Q7" s="27" t="n">
        <x:v>8600</x:v>
      </x:c>
      <x:c r="R7" s="27" t="n">
        <x:v>840</x:v>
      </x:c>
      <x:c r="S7" s="27" t="n">
        <x:v>470</x:v>
      </x:c>
      <x:c r="T7" s="27" t="n">
        <x:v>1020</x:v>
      </x:c>
      <x:c r="U7" s="27" t="n">
        <x:v>112</x:v>
      </x:c>
      <x:c r="V7" s="27" t="str">
        <x:v>DTC-C-MayNghien-250426-demo4.pdf</x:v>
      </x:c>
      <x:c r="W7" s="48" t="str">
        <x:v>Đổi ký tự đầu của model từ B thành A.</x:v>
      </x:c>
    </x:row>
    <x:row r="8">
      <x:c r="A8" s="47" t="str">
        <x:v>BS_SMALL_HAMMER__AS-250</x:v>
      </x:c>
      <x:c r="B8" s="27" t="str">
        <x:f>IF(A8=C8&amp;"__"&amp;SUBSTITUTE(SUBSTITUTE(D8,"/","_")," ","_"),"OK","CHECK ID")</x:f>
        <x:v>OK</x:v>
      </x:c>
      <x:c r="C8" s="27" t="str">
        <x:v>BS_SMALL_HAMMER</x:v>
      </x:c>
      <x:c r="D8" s="27" t="str">
        <x:v>AS-250</x:v>
      </x:c>
      <x:c r="E8" s="62" t="b">
        <x:v>1</x:v>
      </x:c>
      <x:c r="F8" s="27" t="n">
        <x:v>6</x:v>
      </x:c>
      <x:c r="G8" s="27" t="n">
        <x:v>10</x:v>
      </x:c>
      <x:c r="H8" s="27" t="n">
        <x:v>100</x:v>
      </x:c>
      <x:c r="I8" s="27" t="n">
        <x:v>10</x:v>
      </x:c>
      <x:c r="J8" s="27" t="str">
        <x:v>&lt;10 mm cho nguyên liệu hạt; &lt;15×40×2 mm cho nguyên liệu lá</x:v>
      </x:c>
      <x:c r="K8" s="27" t="n">
        <x:v>10</x:v>
      </x:c>
      <x:c r="L8" s="27" t="n">
        <x:v>120</x:v>
      </x:c>
      <x:c r="M8" s="27" t="str">
        <x:v>mesh</x:v>
      </x:c>
      <x:c r="N8" s="27" t="n">
        <x:v>5.5</x:v>
      </x:c>
      <x:c r="O8" s="27" t="n">
        <x:v>5.5</x:v>
      </x:c>
      <x:c r="P8" s="27" t="n">
        <x:v>4200</x:v>
      </x:c>
      <x:c r="Q8" s="27" t="n">
        <x:v>6200</x:v>
      </x:c>
      <x:c r="R8" s="27" t="n">
        <x:v>930</x:v>
      </x:c>
      <x:c r="S8" s="27" t="n">
        <x:v>600</x:v>
      </x:c>
      <x:c r="T8" s="27" t="n">
        <x:v>1200</x:v>
      </x:c>
      <x:c r="U8" s="27" t="n">
        <x:v>210</x:v>
      </x:c>
      <x:c r="V8" s="27" t="str">
        <x:v>DTC-C-MayNghien-250426-demo4.pdf</x:v>
      </x:c>
      <x:c r="W8" s="48" t="str">
        <x:v>Đổi ký tự đầu của model từ B thành A.</x:v>
      </x:c>
    </x:row>
    <x:row r="9">
      <x:c r="A9" s="47" t="str">
        <x:v>BS_SMALL_HAMMER__AS-350</x:v>
      </x:c>
      <x:c r="B9" s="27" t="str">
        <x:f>IF(A9=C9&amp;"__"&amp;SUBSTITUTE(SUBSTITUTE(D9,"/","_")," ","_"),"OK","CHECK ID")</x:f>
        <x:v>OK</x:v>
      </x:c>
      <x:c r="C9" s="27" t="str">
        <x:v>BS_SMALL_HAMMER</x:v>
      </x:c>
      <x:c r="D9" s="27" t="str">
        <x:v>AS-350</x:v>
      </x:c>
      <x:c r="E9" s="62" t="b">
        <x:v>1</x:v>
      </x:c>
      <x:c r="F9" s="27" t="n">
        <x:v>6</x:v>
      </x:c>
      <x:c r="G9" s="27" t="n">
        <x:v>30</x:v>
      </x:c>
      <x:c r="H9" s="27" t="n">
        <x:v>300</x:v>
      </x:c>
      <x:c r="I9" s="27" t="n">
        <x:v>10</x:v>
      </x:c>
      <x:c r="J9" s="27" t="str">
        <x:v>&lt;10 mm cho nguyên liệu hạt; &lt;15×40×2 mm cho nguyên liệu lá</x:v>
      </x:c>
      <x:c r="K9" s="27" t="n">
        <x:v>10</x:v>
      </x:c>
      <x:c r="L9" s="27" t="n">
        <x:v>120</x:v>
      </x:c>
      <x:c r="M9" s="27" t="str">
        <x:v>mesh</x:v>
      </x:c>
      <x:c r="N9" s="27" t="n">
        <x:v>11</x:v>
      </x:c>
      <x:c r="O9" s="27" t="n">
        <x:v>11</x:v>
      </x:c>
      <x:c r="P9" s="27" t="n">
        <x:v>2200</x:v>
      </x:c>
      <x:c r="Q9" s="27" t="n">
        <x:v>4400</x:v>
      </x:c>
      <x:c r="R9" s="27" t="n">
        <x:v>1150</x:v>
      </x:c>
      <x:c r="S9" s="27" t="n">
        <x:v>700</x:v>
      </x:c>
      <x:c r="T9" s="27" t="n">
        <x:v>1600</x:v>
      </x:c>
      <x:c r="U9" s="27" t="n">
        <x:v>430</x:v>
      </x:c>
      <x:c r="V9" s="27" t="str">
        <x:v>DTC-C-MayNghien-250426-demo4.pdf</x:v>
      </x:c>
      <x:c r="W9" s="48" t="str">
        <x:v>Đổi ký tự đầu của model từ B thành A.</x:v>
      </x:c>
    </x:row>
    <x:row r="10">
      <x:c r="A10" s="47" t="str">
        <x:v>BSU_UNIVERSAL__ASU-20</x:v>
      </x:c>
      <x:c r="B10" s="27" t="str">
        <x:f>IF(A10=C10&amp;"__"&amp;SUBSTITUTE(SUBSTITUTE(D10,"/","_")," ","_"),"OK","CHECK ID")</x:f>
        <x:v>OK</x:v>
      </x:c>
      <x:c r="C10" s="27" t="str">
        <x:v>BSU_UNIVERSAL</x:v>
      </x:c>
      <x:c r="D10" s="27" t="str">
        <x:v>ASU-20</x:v>
      </x:c>
      <x:c r="E10" s="62" t="b">
        <x:v>1</x:v>
      </x:c>
      <x:c r="F10" s="27" t="n">
        <x:v>8</x:v>
      </x:c>
      <x:c r="G10" s="27" t="n">
        <x:v>20</x:v>
      </x:c>
      <x:c r="H10" s="27" t="n">
        <x:v>150</x:v>
      </x:c>
      <x:c r="I10" s="27" t="n">
        <x:v>6</x:v>
      </x:c>
      <x:c r="J10" s="27" t="str">
        <x:v>&lt; 6 mm</x:v>
      </x:c>
      <x:c r="K10" s="27" t="n">
        <x:v>20</x:v>
      </x:c>
      <x:c r="L10" s="27" t="n">
        <x:v>120</x:v>
      </x:c>
      <x:c r="M10" s="27" t="str">
        <x:v>mesh</x:v>
      </x:c>
      <x:c r="N10" s="27" t="n">
        <x:v>4</x:v>
      </x:c>
      <x:c r="O10" s="27" t="n">
        <x:v>4</x:v>
      </x:c>
      <x:c r="P10" s="27"/>
      <x:c r="Q10" s="27"/>
      <x:c r="R10" s="27" t="n">
        <x:v>550</x:v>
      </x:c>
      <x:c r="S10" s="27" t="n">
        <x:v>550</x:v>
      </x:c>
      <x:c r="T10" s="27" t="n">
        <x:v>1200</x:v>
      </x:c>
      <x:c r="U10" s="27"/>
      <x:c r="V10" s="27" t="str">
        <x:v>DTC-C-MayNghien-250426-demo4.pdf</x:v>
      </x:c>
      <x:c r="W10" s="48" t="str">
        <x:v>Đổi ký tự đầu của model từ B thành A.</x:v>
      </x:c>
    </x:row>
    <x:row r="11">
      <x:c r="A11" s="47" t="str">
        <x:v>BSU_UNIVERSAL__ASU-30</x:v>
      </x:c>
      <x:c r="B11" s="27" t="str">
        <x:f>IF(A11=C11&amp;"__"&amp;SUBSTITUTE(SUBSTITUTE(D11,"/","_")," ","_"),"OK","CHECK ID")</x:f>
        <x:v>OK</x:v>
      </x:c>
      <x:c r="C11" s="27" t="str">
        <x:v>BSU_UNIVERSAL</x:v>
      </x:c>
      <x:c r="D11" s="27" t="str">
        <x:v>ASU-30</x:v>
      </x:c>
      <x:c r="E11" s="62" t="b">
        <x:v>1</x:v>
      </x:c>
      <x:c r="F11" s="27" t="n">
        <x:v>8</x:v>
      </x:c>
      <x:c r="G11" s="27" t="n">
        <x:v>30</x:v>
      </x:c>
      <x:c r="H11" s="27" t="n">
        <x:v>300</x:v>
      </x:c>
      <x:c r="I11" s="27" t="n">
        <x:v>10</x:v>
      </x:c>
      <x:c r="J11" s="27" t="str">
        <x:v>&lt; 10 mm</x:v>
      </x:c>
      <x:c r="K11" s="27" t="n">
        <x:v>20</x:v>
      </x:c>
      <x:c r="L11" s="27" t="n">
        <x:v>120</x:v>
      </x:c>
      <x:c r="M11" s="27" t="str">
        <x:v>mesh</x:v>
      </x:c>
      <x:c r="N11" s="27" t="n">
        <x:v>7.5</x:v>
      </x:c>
      <x:c r="O11" s="27" t="n">
        <x:v>7.5</x:v>
      </x:c>
      <x:c r="P11" s="27"/>
      <x:c r="Q11" s="27"/>
      <x:c r="R11" s="27" t="n">
        <x:v>650</x:v>
      </x:c>
      <x:c r="S11" s="27" t="n">
        <x:v>650</x:v>
      </x:c>
      <x:c r="T11" s="27" t="n">
        <x:v>1520</x:v>
      </x:c>
      <x:c r="U11" s="27"/>
      <x:c r="V11" s="27" t="str">
        <x:v>DTC-C-MayNghien-250426-demo4.pdf</x:v>
      </x:c>
      <x:c r="W11" s="48" t="str">
        <x:v>Đổi ký tự đầu của model từ B thành A.</x:v>
      </x:c>
    </x:row>
    <x:row r="12">
      <x:c r="A12" s="47" t="str">
        <x:v>BSU_UNIVERSAL__ASU-40</x:v>
      </x:c>
      <x:c r="B12" s="27" t="str">
        <x:f>IF(A12=C12&amp;"__"&amp;SUBSTITUTE(SUBSTITUTE(D12,"/","_")," ","_"),"OK","CHECK ID")</x:f>
        <x:v>OK</x:v>
      </x:c>
      <x:c r="C12" s="27" t="str">
        <x:v>BSU_UNIVERSAL</x:v>
      </x:c>
      <x:c r="D12" s="27" t="str">
        <x:v>ASU-40</x:v>
      </x:c>
      <x:c r="E12" s="62" t="b">
        <x:v>1</x:v>
      </x:c>
      <x:c r="F12" s="27" t="n">
        <x:v>8</x:v>
      </x:c>
      <x:c r="G12" s="27" t="n">
        <x:v>50</x:v>
      </x:c>
      <x:c r="H12" s="27" t="n">
        <x:v>400</x:v>
      </x:c>
      <x:c r="I12" s="27" t="n">
        <x:v>10</x:v>
      </x:c>
      <x:c r="J12" s="27" t="str">
        <x:v>&lt; 10 mm</x:v>
      </x:c>
      <x:c r="K12" s="27" t="n">
        <x:v>20</x:v>
      </x:c>
      <x:c r="L12" s="27" t="n">
        <x:v>120</x:v>
      </x:c>
      <x:c r="M12" s="27" t="str">
        <x:v>mesh</x:v>
      </x:c>
      <x:c r="N12" s="27" t="n">
        <x:v>11</x:v>
      </x:c>
      <x:c r="O12" s="27" t="n">
        <x:v>11</x:v>
      </x:c>
      <x:c r="P12" s="27"/>
      <x:c r="Q12" s="27"/>
      <x:c r="R12" s="27" t="n">
        <x:v>780</x:v>
      </x:c>
      <x:c r="S12" s="27" t="n">
        <x:v>780</x:v>
      </x:c>
      <x:c r="T12" s="27" t="n">
        <x:v>1600</x:v>
      </x:c>
      <x:c r="U12" s="27"/>
      <x:c r="V12" s="27" t="str">
        <x:v>DTC-C-MayNghien-250426-demo4.pdf</x:v>
      </x:c>
      <x:c r="W12" s="48" t="str">
        <x:v>Đổi ký tự đầu của model từ B thành A.</x:v>
      </x:c>
    </x:row>
    <x:row r="13">
      <x:c r="A13" s="47" t="str">
        <x:v>BSU_UNIVERSAL__ASU-50</x:v>
      </x:c>
      <x:c r="B13" s="27" t="str">
        <x:f>IF(A13=C13&amp;"__"&amp;SUBSTITUTE(SUBSTITUTE(D13,"/","_")," ","_"),"OK","CHECK ID")</x:f>
        <x:v>OK</x:v>
      </x:c>
      <x:c r="C13" s="27" t="str">
        <x:v>BSU_UNIVERSAL</x:v>
      </x:c>
      <x:c r="D13" s="27" t="str">
        <x:v>ASU-50</x:v>
      </x:c>
      <x:c r="E13" s="62" t="b">
        <x:v>1</x:v>
      </x:c>
      <x:c r="F13" s="27" t="n">
        <x:v>8</x:v>
      </x:c>
      <x:c r="G13" s="27" t="n">
        <x:v>100</x:v>
      </x:c>
      <x:c r="H13" s="27" t="n">
        <x:v>800</x:v>
      </x:c>
      <x:c r="I13" s="27" t="n">
        <x:v>10</x:v>
      </x:c>
      <x:c r="J13" s="27" t="str">
        <x:v>&lt; 10 mm</x:v>
      </x:c>
      <x:c r="K13" s="27" t="n">
        <x:v>20</x:v>
      </x:c>
      <x:c r="L13" s="27" t="n">
        <x:v>120</x:v>
      </x:c>
      <x:c r="M13" s="27" t="str">
        <x:v>mesh</x:v>
      </x:c>
      <x:c r="N13" s="27" t="n">
        <x:v>15</x:v>
      </x:c>
      <x:c r="O13" s="27" t="n">
        <x:v>15</x:v>
      </x:c>
      <x:c r="P13" s="27"/>
      <x:c r="Q13" s="27"/>
      <x:c r="R13" s="27" t="n">
        <x:v>850</x:v>
      </x:c>
      <x:c r="S13" s="27" t="n">
        <x:v>850</x:v>
      </x:c>
      <x:c r="T13" s="27" t="n">
        <x:v>1650</x:v>
      </x:c>
      <x:c r="U13" s="27"/>
      <x:c r="V13" s="27" t="str">
        <x:v>DTC-C-MayNghien-250426-demo4.pdf</x:v>
      </x:c>
      <x:c r="W13" s="48" t="str">
        <x:v>Đổi ký tự đầu của model từ B thành A.</x:v>
      </x:c>
    </x:row>
    <x:row r="14">
      <x:c r="A14" s="47" t="str">
        <x:v>BSG_UNIVERSAL_SYSTEM__ASG-300</x:v>
      </x:c>
      <x:c r="B14" s="27" t="str">
        <x:f>IF(A14=C14&amp;"__"&amp;SUBSTITUTE(SUBSTITUTE(D14,"/","_")," ","_"),"OK","CHECK ID")</x:f>
        <x:v>OK</x:v>
      </x:c>
      <x:c r="C14" s="27" t="str">
        <x:v>BSG_UNIVERSAL_SYSTEM</x:v>
      </x:c>
      <x:c r="D14" s="27" t="str">
        <x:v>ASG-300</x:v>
      </x:c>
      <x:c r="E14" s="62" t="b">
        <x:v>1</x:v>
      </x:c>
      <x:c r="F14" s="27" t="n">
        <x:v>8</x:v>
      </x:c>
      <x:c r="G14" s="27" t="n">
        <x:v>50</x:v>
      </x:c>
      <x:c r="H14" s="27" t="n">
        <x:v>400</x:v>
      </x:c>
      <x:c r="I14" s="27"/>
      <x:c r="J14" s="27"/>
      <x:c r="K14" s="27" t="n">
        <x:v>10</x:v>
      </x:c>
      <x:c r="L14" s="27" t="n">
        <x:v>120</x:v>
      </x:c>
      <x:c r="M14" s="27" t="str">
        <x:v>mesh</x:v>
      </x:c>
      <x:c r="N14" s="27" t="n">
        <x:v>7.5</x:v>
      </x:c>
      <x:c r="O14" s="27" t="n">
        <x:v>7.5</x:v>
      </x:c>
      <x:c r="P14" s="27" t="n">
        <x:v>4000</x:v>
      </x:c>
      <x:c r="Q14" s="27" t="n">
        <x:v>4000</x:v>
      </x:c>
      <x:c r="R14" s="27"/>
      <x:c r="S14" s="27"/>
      <x:c r="T14" s="27"/>
      <x:c r="U14" s="27"/>
      <x:c r="V14" s="27" t="str">
        <x:v>DTC-C-MayNghien-250426-demo4.pdf</x:v>
      </x:c>
      <x:c r="W14" s="48" t="str">
        <x:v>Đổi ký tự đầu của model từ B thành A.</x:v>
      </x:c>
    </x:row>
    <x:row r="15">
      <x:c r="A15" s="47" t="str">
        <x:v>BSG_UNIVERSAL_SYSTEM__ASG-400</x:v>
      </x:c>
      <x:c r="B15" s="27" t="str">
        <x:f>IF(A15=C15&amp;"__"&amp;SUBSTITUTE(SUBSTITUTE(D15,"/","_")," ","_"),"OK","CHECK ID")</x:f>
        <x:v>OK</x:v>
      </x:c>
      <x:c r="C15" s="27" t="str">
        <x:v>BSG_UNIVERSAL_SYSTEM</x:v>
      </x:c>
      <x:c r="D15" s="27" t="str">
        <x:v>ASG-400</x:v>
      </x:c>
      <x:c r="E15" s="62" t="b">
        <x:v>1</x:v>
      </x:c>
      <x:c r="F15" s="27" t="n">
        <x:v>8</x:v>
      </x:c>
      <x:c r="G15" s="27" t="n">
        <x:v>100</x:v>
      </x:c>
      <x:c r="H15" s="27" t="n">
        <x:v>800</x:v>
      </x:c>
      <x:c r="I15" s="27"/>
      <x:c r="J15" s="27"/>
      <x:c r="K15" s="27" t="n">
        <x:v>10</x:v>
      </x:c>
      <x:c r="L15" s="27" t="n">
        <x:v>120</x:v>
      </x:c>
      <x:c r="M15" s="27" t="str">
        <x:v>mesh</x:v>
      </x:c>
      <x:c r="N15" s="27" t="n">
        <x:v>11</x:v>
      </x:c>
      <x:c r="O15" s="27" t="n">
        <x:v>11</x:v>
      </x:c>
      <x:c r="P15" s="27" t="n">
        <x:v>3400</x:v>
      </x:c>
      <x:c r="Q15" s="27" t="n">
        <x:v>3400</x:v>
      </x:c>
      <x:c r="R15" s="27"/>
      <x:c r="S15" s="27"/>
      <x:c r="T15" s="27"/>
      <x:c r="U15" s="27"/>
      <x:c r="V15" s="27" t="str">
        <x:v>DTC-C-MayNghien-250426-demo4.pdf</x:v>
      </x:c>
      <x:c r="W15" s="48" t="str">
        <x:v>Đổi ký tự đầu của model từ B thành A.</x:v>
      </x:c>
    </x:row>
    <x:row r="16">
      <x:c r="A16" s="47" t="str">
        <x:v>BSG_UNIVERSAL_SYSTEM__ASG-500</x:v>
      </x:c>
      <x:c r="B16" s="27" t="str">
        <x:f>IF(A16=C16&amp;"__"&amp;SUBSTITUTE(SUBSTITUTE(D16,"/","_")," ","_"),"OK","CHECK ID")</x:f>
        <x:v>OK</x:v>
      </x:c>
      <x:c r="C16" s="27" t="str">
        <x:v>BSG_UNIVERSAL_SYSTEM</x:v>
      </x:c>
      <x:c r="D16" s="27" t="str">
        <x:v>ASG-500</x:v>
      </x:c>
      <x:c r="E16" s="62" t="b">
        <x:v>1</x:v>
      </x:c>
      <x:c r="F16" s="27" t="n">
        <x:v>8</x:v>
      </x:c>
      <x:c r="G16" s="27" t="n">
        <x:v>200</x:v>
      </x:c>
      <x:c r="H16" s="27" t="n">
        <x:v>1000</x:v>
      </x:c>
      <x:c r="I16" s="27"/>
      <x:c r="J16" s="27"/>
      <x:c r="K16" s="27" t="n">
        <x:v>10</x:v>
      </x:c>
      <x:c r="L16" s="27" t="n">
        <x:v>120</x:v>
      </x:c>
      <x:c r="M16" s="27" t="str">
        <x:v>mesh</x:v>
      </x:c>
      <x:c r="N16" s="27" t="n">
        <x:v>15</x:v>
      </x:c>
      <x:c r="O16" s="27" t="n">
        <x:v>18.5</x:v>
      </x:c>
      <x:c r="P16" s="27" t="n">
        <x:v>3000</x:v>
      </x:c>
      <x:c r="Q16" s="27" t="n">
        <x:v>3000</x:v>
      </x:c>
      <x:c r="R16" s="27"/>
      <x:c r="S16" s="27"/>
      <x:c r="T16" s="27"/>
      <x:c r="U16" s="27"/>
      <x:c r="V16" s="27" t="str">
        <x:v>DTC-C-MayNghien-250426-demo4.pdf</x:v>
      </x:c>
      <x:c r="W16" s="48" t="str">
        <x:v>Đổi ký tự đầu của model từ B thành A.</x:v>
      </x:c>
    </x:row>
    <x:row r="17">
      <x:c r="A17" s="47" t="str">
        <x:v>BSG_UNIVERSAL_SYSTEM__ASG-600</x:v>
      </x:c>
      <x:c r="B17" s="27" t="str">
        <x:f>IF(A17=C17&amp;"__"&amp;SUBSTITUTE(SUBSTITUTE(D17,"/","_")," ","_"),"OK","CHECK ID")</x:f>
        <x:v>OK</x:v>
      </x:c>
      <x:c r="C17" s="27" t="str">
        <x:v>BSG_UNIVERSAL_SYSTEM</x:v>
      </x:c>
      <x:c r="D17" s="27" t="str">
        <x:v>ASG-600</x:v>
      </x:c>
      <x:c r="E17" s="62" t="b">
        <x:v>1</x:v>
      </x:c>
      <x:c r="F17" s="27" t="n">
        <x:v>8</x:v>
      </x:c>
      <x:c r="G17" s="27" t="n">
        <x:v>300</x:v>
      </x:c>
      <x:c r="H17" s="27" t="n">
        <x:v>1500</x:v>
      </x:c>
      <x:c r="I17" s="27"/>
      <x:c r="J17" s="27"/>
      <x:c r="K17" s="27" t="n">
        <x:v>10</x:v>
      </x:c>
      <x:c r="L17" s="27" t="n">
        <x:v>120</x:v>
      </x:c>
      <x:c r="M17" s="27" t="str">
        <x:v>mesh</x:v>
      </x:c>
      <x:c r="N17" s="27" t="n">
        <x:v>22</x:v>
      </x:c>
      <x:c r="O17" s="27" t="n">
        <x:v>30</x:v>
      </x:c>
      <x:c r="P17" s="27" t="n">
        <x:v>2800</x:v>
      </x:c>
      <x:c r="Q17" s="27" t="n">
        <x:v>2800</x:v>
      </x:c>
      <x:c r="R17" s="27"/>
      <x:c r="S17" s="27"/>
      <x:c r="T17" s="27"/>
      <x:c r="U17" s="27"/>
      <x:c r="V17" s="27" t="str">
        <x:v>DTC-C-MayNghien-250426-demo4.pdf</x:v>
      </x:c>
      <x:c r="W17" s="48" t="str">
        <x:v>Đổi ký tự đầu của model từ B thành A.</x:v>
      </x:c>
    </x:row>
    <x:row r="18">
      <x:c r="A18" s="47" t="str">
        <x:v>BSG_UNIVERSAL_SYSTEM__ASG-850</x:v>
      </x:c>
      <x:c r="B18" s="27" t="str">
        <x:f>IF(A18=C18&amp;"__"&amp;SUBSTITUTE(SUBSTITUTE(D18,"/","_")," ","_"),"OK","CHECK ID")</x:f>
        <x:v>OK</x:v>
      </x:c>
      <x:c r="C18" s="27" t="str">
        <x:v>BSG_UNIVERSAL_SYSTEM</x:v>
      </x:c>
      <x:c r="D18" s="27" t="str">
        <x:v>ASG-850</x:v>
      </x:c>
      <x:c r="E18" s="62" t="b">
        <x:v>1</x:v>
      </x:c>
      <x:c r="F18" s="27" t="n">
        <x:v>8</x:v>
      </x:c>
      <x:c r="G18" s="27" t="n">
        <x:v>450</x:v>
      </x:c>
      <x:c r="H18" s="27" t="n">
        <x:v>2000</x:v>
      </x:c>
      <x:c r="I18" s="27"/>
      <x:c r="J18" s="27"/>
      <x:c r="K18" s="27" t="n">
        <x:v>10</x:v>
      </x:c>
      <x:c r="L18" s="27" t="n">
        <x:v>120</x:v>
      </x:c>
      <x:c r="M18" s="27" t="str">
        <x:v>mesh</x:v>
      </x:c>
      <x:c r="N18" s="27" t="n">
        <x:v>37</x:v>
      </x:c>
      <x:c r="O18" s="27" t="n">
        <x:v>45</x:v>
      </x:c>
      <x:c r="P18" s="27" t="n">
        <x:v>2100</x:v>
      </x:c>
      <x:c r="Q18" s="27" t="n">
        <x:v>2100</x:v>
      </x:c>
      <x:c r="R18" s="27"/>
      <x:c r="S18" s="27"/>
      <x:c r="T18" s="27"/>
      <x:c r="U18" s="27"/>
      <x:c r="V18" s="27" t="str">
        <x:v>DTC-C-MayNghien-250426-demo4.pdf</x:v>
      </x:c>
      <x:c r="W18" s="48" t="str">
        <x:v>Đổi ký tự đầu của model từ B thành A.</x:v>
      </x:c>
    </x:row>
    <x:row r="19">
      <x:c r="A19" s="47" t="str">
        <x:v>BSG_UNIVERSAL_SYSTEM__ASG-1000</x:v>
      </x:c>
      <x:c r="B19" s="27" t="str">
        <x:f>IF(A19=C19&amp;"__"&amp;SUBSTITUTE(SUBSTITUTE(D19,"/","_")," ","_"),"OK","CHECK ID")</x:f>
        <x:v>OK</x:v>
      </x:c>
      <x:c r="C19" s="27" t="str">
        <x:v>BSG_UNIVERSAL_SYSTEM</x:v>
      </x:c>
      <x:c r="D19" s="27" t="str">
        <x:v>ASG-1000</x:v>
      </x:c>
      <x:c r="E19" s="62" t="b">
        <x:v>1</x:v>
      </x:c>
      <x:c r="F19" s="27" t="n">
        <x:v>8</x:v>
      </x:c>
      <x:c r="G19" s="27" t="n">
        <x:v>600</x:v>
      </x:c>
      <x:c r="H19" s="27" t="n">
        <x:v>3000</x:v>
      </x:c>
      <x:c r="I19" s="27"/>
      <x:c r="J19" s="27"/>
      <x:c r="K19" s="27" t="n">
        <x:v>10</x:v>
      </x:c>
      <x:c r="L19" s="27" t="n">
        <x:v>120</x:v>
      </x:c>
      <x:c r="M19" s="27" t="str">
        <x:v>mesh</x:v>
      </x:c>
      <x:c r="N19" s="27" t="n">
        <x:v>55</x:v>
      </x:c>
      <x:c r="O19" s="27" t="n">
        <x:v>55</x:v>
      </x:c>
      <x:c r="P19" s="27" t="n">
        <x:v>1400</x:v>
      </x:c>
      <x:c r="Q19" s="27" t="n">
        <x:v>1400</x:v>
      </x:c>
      <x:c r="R19" s="27"/>
      <x:c r="S19" s="27"/>
      <x:c r="T19" s="27"/>
      <x:c r="U19" s="27"/>
      <x:c r="V19" s="27" t="str">
        <x:v>DTC-C-MayNghien-250426-demo4.pdf</x:v>
      </x:c>
      <x:c r="W19" s="48" t="str">
        <x:v>Đổi ký tự đầu của model từ B thành A.</x:v>
      </x:c>
    </x:row>
    <x:row r="20">
      <x:c r="A20" s="47" t="str">
        <x:v>BSP_ULTRAFINE__ASP-250</x:v>
      </x:c>
      <x:c r="B20" s="27" t="str">
        <x:f>IF(A20=C20&amp;"__"&amp;SUBSTITUTE(SUBSTITUTE(D20,"/","_")," ","_"),"OK","CHECK ID")</x:f>
        <x:v>OK</x:v>
      </x:c>
      <x:c r="C20" s="27" t="str">
        <x:v>BSP_ULTRAFINE</x:v>
      </x:c>
      <x:c r="D20" s="27" t="str">
        <x:v>ASP-250</x:v>
      </x:c>
      <x:c r="E20" s="62" t="b">
        <x:v>1</x:v>
      </x:c>
      <x:c r="F20" s="27" t="n">
        <x:v>11</x:v>
      </x:c>
      <x:c r="G20" s="27" t="n">
        <x:v>10</x:v>
      </x:c>
      <x:c r="H20" s="27" t="n">
        <x:v>100</x:v>
      </x:c>
      <x:c r="I20" s="27" t="n">
        <x:v>8</x:v>
      </x:c>
      <x:c r="J20" s="27" t="str">
        <x:v>&lt; 8 mm</x:v>
      </x:c>
      <x:c r="K20" s="27" t="n">
        <x:v>60</x:v>
      </x:c>
      <x:c r="L20" s="27" t="n">
        <x:v>2500</x:v>
      </x:c>
      <x:c r="M20" s="27" t="str">
        <x:v>mesh</x:v>
      </x:c>
      <x:c r="N20" s="27" t="n">
        <x:v>5.5</x:v>
      </x:c>
      <x:c r="O20" s="27" t="n">
        <x:v>5.5</x:v>
      </x:c>
      <x:c r="P20" s="27" t="n">
        <x:v>8400</x:v>
      </x:c>
      <x:c r="Q20" s="27" t="n">
        <x:v>8400</x:v>
      </x:c>
      <x:c r="R20" s="27"/>
      <x:c r="S20" s="27"/>
      <x:c r="T20" s="27"/>
      <x:c r="U20" s="27"/>
      <x:c r="V20" s="27" t="str">
        <x:v>DTC-C-MayNghien-250426-demo4.pdf</x:v>
      </x:c>
      <x:c r="W20" s="48" t="str">
        <x:v>Đổi ký tự đầu của model từ B thành A.</x:v>
      </x:c>
    </x:row>
    <x:row r="21">
      <x:c r="A21" s="47" t="str">
        <x:v>BSP_ULTRAFINE__ASP-350</x:v>
      </x:c>
      <x:c r="B21" s="27" t="str">
        <x:f>IF(A21=C21&amp;"__"&amp;SUBSTITUTE(SUBSTITUTE(D21,"/","_")," ","_"),"OK","CHECK ID")</x:f>
        <x:v>OK</x:v>
      </x:c>
      <x:c r="C21" s="27" t="str">
        <x:v>BSP_ULTRAFINE</x:v>
      </x:c>
      <x:c r="D21" s="27" t="str">
        <x:v>ASP-350</x:v>
      </x:c>
      <x:c r="E21" s="62" t="b">
        <x:v>1</x:v>
      </x:c>
      <x:c r="F21" s="27" t="n">
        <x:v>11</x:v>
      </x:c>
      <x:c r="G21" s="27" t="n">
        <x:v>20</x:v>
      </x:c>
      <x:c r="H21" s="27" t="n">
        <x:v>200</x:v>
      </x:c>
      <x:c r="I21" s="27" t="n">
        <x:v>15</x:v>
      </x:c>
      <x:c r="J21" s="27" t="str">
        <x:v>&lt; 15 mm</x:v>
      </x:c>
      <x:c r="K21" s="27" t="n">
        <x:v>60</x:v>
      </x:c>
      <x:c r="L21" s="27" t="n">
        <x:v>2500</x:v>
      </x:c>
      <x:c r="M21" s="27" t="str">
        <x:v>mesh</x:v>
      </x:c>
      <x:c r="N21" s="27" t="n">
        <x:v>15</x:v>
      </x:c>
      <x:c r="O21" s="27" t="n">
        <x:v>18.5</x:v>
      </x:c>
      <x:c r="P21" s="27" t="n">
        <x:v>6500</x:v>
      </x:c>
      <x:c r="Q21" s="27" t="n">
        <x:v>6500</x:v>
      </x:c>
      <x:c r="R21" s="27"/>
      <x:c r="S21" s="27"/>
      <x:c r="T21" s="27"/>
      <x:c r="U21" s="27"/>
      <x:c r="V21" s="27" t="str">
        <x:v>DTC-C-MayNghien-250426-demo4.pdf</x:v>
      </x:c>
      <x:c r="W21" s="48" t="str">
        <x:v>Đổi ký tự đầu của model từ B thành A.</x:v>
      </x:c>
    </x:row>
    <x:row r="22">
      <x:c r="A22" s="47" t="str">
        <x:v>BSP_ULTRAFINE__ASP-450</x:v>
      </x:c>
      <x:c r="B22" s="27" t="str">
        <x:f>IF(A22=C22&amp;"__"&amp;SUBSTITUTE(SUBSTITUTE(D22,"/","_")," ","_"),"OK","CHECK ID")</x:f>
        <x:v>OK</x:v>
      </x:c>
      <x:c r="C22" s="27" t="str">
        <x:v>BSP_ULTRAFINE</x:v>
      </x:c>
      <x:c r="D22" s="27" t="str">
        <x:v>ASP-450</x:v>
      </x:c>
      <x:c r="E22" s="62" t="b">
        <x:v>1</x:v>
      </x:c>
      <x:c r="F22" s="27" t="n">
        <x:v>11</x:v>
      </x:c>
      <x:c r="G22" s="27" t="n">
        <x:v>40</x:v>
      </x:c>
      <x:c r="H22" s="27" t="n">
        <x:v>500</x:v>
      </x:c>
      <x:c r="I22" s="27" t="n">
        <x:v>15</x:v>
      </x:c>
      <x:c r="J22" s="27" t="str">
        <x:v>&lt; 15 mm</x:v>
      </x:c>
      <x:c r="K22" s="27" t="n">
        <x:v>60</x:v>
      </x:c>
      <x:c r="L22" s="27" t="n">
        <x:v>2500</x:v>
      </x:c>
      <x:c r="M22" s="27" t="str">
        <x:v>mesh</x:v>
      </x:c>
      <x:c r="N22" s="27" t="n">
        <x:v>18.5</x:v>
      </x:c>
      <x:c r="O22" s="27" t="n">
        <x:v>22</x:v>
      </x:c>
      <x:c r="P22" s="27" t="n">
        <x:v>5600</x:v>
      </x:c>
      <x:c r="Q22" s="27" t="n">
        <x:v>5600</x:v>
      </x:c>
      <x:c r="R22" s="27"/>
      <x:c r="S22" s="27"/>
      <x:c r="T22" s="27"/>
      <x:c r="U22" s="27"/>
      <x:c r="V22" s="27" t="str">
        <x:v>DTC-C-MayNghien-250426-demo4.pdf</x:v>
      </x:c>
      <x:c r="W22" s="48" t="str">
        <x:v>Đổi ký tự đầu của model từ B thành A.</x:v>
      </x:c>
    </x:row>
    <x:row r="23">
      <x:c r="A23" s="47" t="str">
        <x:v>BSP_ULTRAFINE__ASP-500</x:v>
      </x:c>
      <x:c r="B23" s="27" t="str">
        <x:f>IF(A23=C23&amp;"__"&amp;SUBSTITUTE(SUBSTITUTE(D23,"/","_")," ","_"),"OK","CHECK ID")</x:f>
        <x:v>OK</x:v>
      </x:c>
      <x:c r="C23" s="27" t="str">
        <x:v>BSP_ULTRAFINE</x:v>
      </x:c>
      <x:c r="D23" s="27" t="str">
        <x:v>ASP-500</x:v>
      </x:c>
      <x:c r="E23" s="62" t="b">
        <x:v>1</x:v>
      </x:c>
      <x:c r="F23" s="27" t="n">
        <x:v>11</x:v>
      </x:c>
      <x:c r="G23" s="27" t="n">
        <x:v>50</x:v>
      </x:c>
      <x:c r="H23" s="27" t="n">
        <x:v>800</x:v>
      </x:c>
      <x:c r="I23" s="27" t="n">
        <x:v>15</x:v>
      </x:c>
      <x:c r="J23" s="27" t="str">
        <x:v>&lt; 15 mm</x:v>
      </x:c>
      <x:c r="K23" s="27" t="n">
        <x:v>60</x:v>
      </x:c>
      <x:c r="L23" s="27" t="n">
        <x:v>2500</x:v>
      </x:c>
      <x:c r="M23" s="27" t="str">
        <x:v>mesh</x:v>
      </x:c>
      <x:c r="N23" s="27" t="n">
        <x:v>30</x:v>
      </x:c>
      <x:c r="O23" s="27" t="n">
        <x:v>37</x:v>
      </x:c>
      <x:c r="P23" s="27" t="n">
        <x:v>4400</x:v>
      </x:c>
      <x:c r="Q23" s="27" t="n">
        <x:v>4400</x:v>
      </x:c>
      <x:c r="R23" s="27"/>
      <x:c r="S23" s="27"/>
      <x:c r="T23" s="27"/>
      <x:c r="U23" s="27"/>
      <x:c r="V23" s="27" t="str">
        <x:v>DTC-C-MayNghien-250426-demo4.pdf</x:v>
      </x:c>
      <x:c r="W23" s="48" t="str">
        <x:v>Đổi ký tự đầu của model từ B thành A.</x:v>
      </x:c>
    </x:row>
    <x:row r="24">
      <x:c r="A24" s="47" t="str">
        <x:v>BSP_ULTRAFINE__ASP-750</x:v>
      </x:c>
      <x:c r="B24" s="27" t="str">
        <x:f>IF(A24=C24&amp;"__"&amp;SUBSTITUTE(SUBSTITUTE(D24,"/","_")," ","_"),"OK","CHECK ID")</x:f>
        <x:v>OK</x:v>
      </x:c>
      <x:c r="C24" s="27" t="str">
        <x:v>BSP_ULTRAFINE</x:v>
      </x:c>
      <x:c r="D24" s="27" t="str">
        <x:v>ASP-750</x:v>
      </x:c>
      <x:c r="E24" s="62" t="b">
        <x:v>1</x:v>
      </x:c>
      <x:c r="F24" s="27" t="n">
        <x:v>11</x:v>
      </x:c>
      <x:c r="G24" s="27" t="n">
        <x:v>120</x:v>
      </x:c>
      <x:c r="H24" s="27" t="n">
        <x:v>1800</x:v>
      </x:c>
      <x:c r="I24" s="27" t="n">
        <x:v>15</x:v>
      </x:c>
      <x:c r="J24" s="27" t="str">
        <x:v>&lt; 15 mm</x:v>
      </x:c>
      <x:c r="K24" s="27" t="n">
        <x:v>60</x:v>
      </x:c>
      <x:c r="L24" s="27" t="n">
        <x:v>2500</x:v>
      </x:c>
      <x:c r="M24" s="27" t="str">
        <x:v>mesh</x:v>
      </x:c>
      <x:c r="N24" s="27" t="n">
        <x:v>55</x:v>
      </x:c>
      <x:c r="O24" s="27" t="n">
        <x:v>75</x:v>
      </x:c>
      <x:c r="P24" s="27" t="n">
        <x:v>3100</x:v>
      </x:c>
      <x:c r="Q24" s="27" t="n">
        <x:v>3100</x:v>
      </x:c>
      <x:c r="R24" s="27"/>
      <x:c r="S24" s="27"/>
      <x:c r="T24" s="27"/>
      <x:c r="U24" s="27"/>
      <x:c r="V24" s="27" t="str">
        <x:v>DTC-C-MayNghien-250426-demo4.pdf</x:v>
      </x:c>
      <x:c r="W24" s="48" t="str">
        <x:v>Đổi ký tự đầu của model từ B thành A.</x:v>
      </x:c>
    </x:row>
    <x:row r="25">
      <x:c r="A25" s="47" t="str">
        <x:v>BSP_ULTRAFINE__ASP-900</x:v>
      </x:c>
      <x:c r="B25" s="27" t="str">
        <x:f>IF(A25=C25&amp;"__"&amp;SUBSTITUTE(SUBSTITUTE(D25,"/","_")," ","_"),"OK","CHECK ID")</x:f>
        <x:v>OK</x:v>
      </x:c>
      <x:c r="C25" s="27" t="str">
        <x:v>BSP_ULTRAFINE</x:v>
      </x:c>
      <x:c r="D25" s="27" t="str">
        <x:v>ASP-900</x:v>
      </x:c>
      <x:c r="E25" s="62" t="b">
        <x:v>1</x:v>
      </x:c>
      <x:c r="F25" s="27" t="n">
        <x:v>11</x:v>
      </x:c>
      <x:c r="G25" s="27" t="n">
        <x:v>800</x:v>
      </x:c>
      <x:c r="H25" s="27" t="n">
        <x:v>2500</x:v>
      </x:c>
      <x:c r="I25" s="27" t="n">
        <x:v>20</x:v>
      </x:c>
      <x:c r="J25" s="27" t="str">
        <x:v>&lt; 20 mm</x:v>
      </x:c>
      <x:c r="K25" s="27" t="n">
        <x:v>60</x:v>
      </x:c>
      <x:c r="L25" s="27" t="n">
        <x:v>2500</x:v>
      </x:c>
      <x:c r="M25" s="27" t="str">
        <x:v>mesh</x:v>
      </x:c>
      <x:c r="N25" s="27" t="n">
        <x:v>90</x:v>
      </x:c>
      <x:c r="O25" s="27" t="n">
        <x:v>90</x:v>
      </x:c>
      <x:c r="P25" s="27" t="n">
        <x:v>2450</x:v>
      </x:c>
      <x:c r="Q25" s="27" t="n">
        <x:v>2450</x:v>
      </x:c>
      <x:c r="R25" s="27"/>
      <x:c r="S25" s="27"/>
      <x:c r="T25" s="27"/>
      <x:c r="U25" s="27"/>
      <x:c r="V25" s="27" t="str">
        <x:v>DTC-C-MayNghien-250426-demo4.pdf</x:v>
      </x:c>
      <x:c r="W25" s="48" t="str">
        <x:v>Đổi ký tự đầu của model từ B thành A.</x:v>
      </x:c>
    </x:row>
    <x:row r="26">
      <x:c r="A26" s="47" t="str">
        <x:v>BSP_ULTRAFINE__ASP-1000</x:v>
      </x:c>
      <x:c r="B26" s="27" t="str">
        <x:f>IF(A26=C26&amp;"__"&amp;SUBSTITUTE(SUBSTITUTE(D26,"/","_")," ","_"),"OK","CHECK ID")</x:f>
        <x:v>OK</x:v>
      </x:c>
      <x:c r="C26" s="27" t="str">
        <x:v>BSP_ULTRAFINE</x:v>
      </x:c>
      <x:c r="D26" s="27" t="str">
        <x:v>ASP-1000</x:v>
      </x:c>
      <x:c r="E26" s="62" t="b">
        <x:v>1</x:v>
      </x:c>
      <x:c r="F26" s="27" t="n">
        <x:v>11</x:v>
      </x:c>
      <x:c r="G26" s="27" t="n">
        <x:v>1000</x:v>
      </x:c>
      <x:c r="H26" s="27" t="n">
        <x:v>3600</x:v>
      </x:c>
      <x:c r="I26" s="27" t="n">
        <x:v>20</x:v>
      </x:c>
      <x:c r="J26" s="27" t="str">
        <x:v>&lt; 20 mm</x:v>
      </x:c>
      <x:c r="K26" s="27" t="n">
        <x:v>60</x:v>
      </x:c>
      <x:c r="L26" s="27" t="n">
        <x:v>2500</x:v>
      </x:c>
      <x:c r="M26" s="27" t="str">
        <x:v>mesh</x:v>
      </x:c>
      <x:c r="N26" s="27" t="n">
        <x:v>110</x:v>
      </x:c>
      <x:c r="O26" s="27" t="n">
        <x:v>110</x:v>
      </x:c>
      <x:c r="P26" s="27" t="n">
        <x:v>2450</x:v>
      </x:c>
      <x:c r="Q26" s="27" t="n">
        <x:v>2450</x:v>
      </x:c>
      <x:c r="R26" s="27"/>
      <x:c r="S26" s="27"/>
      <x:c r="T26" s="27"/>
      <x:c r="U26" s="27"/>
      <x:c r="V26" s="27" t="str">
        <x:v>DTC-C-MayNghien-250426-demo4.pdf</x:v>
      </x:c>
      <x:c r="W26" s="48" t="str">
        <x:v>Đổi ký tự đầu của model từ B thành A.</x:v>
      </x:c>
    </x:row>
    <x:row r="27">
      <x:c r="A27" s="47" t="str">
        <x:v>BSZ_PIN__ASZ-250</x:v>
      </x:c>
      <x:c r="B27" s="27" t="str">
        <x:f>IF(A27=C27&amp;"__"&amp;SUBSTITUTE(SUBSTITUTE(D27,"/","_")," ","_"),"OK","CHECK ID")</x:f>
        <x:v>OK</x:v>
      </x:c>
      <x:c r="C27" s="27" t="str">
        <x:v>BSZ_PIN</x:v>
      </x:c>
      <x:c r="D27" s="27" t="str">
        <x:v>ASZ-250</x:v>
      </x:c>
      <x:c r="E27" s="62" t="b">
        <x:v>1</x:v>
      </x:c>
      <x:c r="F27" s="27" t="n">
        <x:v>13</x:v>
      </x:c>
      <x:c r="G27" s="27" t="n">
        <x:v>50</x:v>
      </x:c>
      <x:c r="H27" s="27" t="n">
        <x:v>300</x:v>
      </x:c>
      <x:c r="I27" s="27" t="n">
        <x:v>5</x:v>
      </x:c>
      <x:c r="J27" s="27" t="str">
        <x:v>&lt; 5 mm</x:v>
      </x:c>
      <x:c r="K27" s="27" t="n">
        <x:v>40</x:v>
      </x:c>
      <x:c r="L27" s="27" t="n">
        <x:v>500</x:v>
      </x:c>
      <x:c r="M27" s="27" t="str">
        <x:v>mesh</x:v>
      </x:c>
      <x:c r="N27" s="27" t="n">
        <x:v>11</x:v>
      </x:c>
      <x:c r="O27" s="27" t="n">
        <x:v>11</x:v>
      </x:c>
      <x:c r="P27" s="27" t="n">
        <x:v>17000</x:v>
      </x:c>
      <x:c r="Q27" s="27" t="n">
        <x:v>17000</x:v>
      </x:c>
      <x:c r="R27" s="27"/>
      <x:c r="S27" s="27"/>
      <x:c r="T27" s="27"/>
      <x:c r="U27" s="27"/>
      <x:c r="V27" s="27" t="str">
        <x:v>DTC-C-MayNghien-250426-demo4.pdf</x:v>
      </x:c>
      <x:c r="W27" s="48" t="str">
        <x:v>Đổi ký tự đầu của model từ B thành A.</x:v>
      </x:c>
    </x:row>
    <x:row r="28">
      <x:c r="A28" s="47" t="str">
        <x:v>BSZ_PIN__ASZ-350</x:v>
      </x:c>
      <x:c r="B28" s="27" t="str">
        <x:f>IF(A28=C28&amp;"__"&amp;SUBSTITUTE(SUBSTITUTE(D28,"/","_")," ","_"),"OK","CHECK ID")</x:f>
        <x:v>OK</x:v>
      </x:c>
      <x:c r="C28" s="27" t="str">
        <x:v>BSZ_PIN</x:v>
      </x:c>
      <x:c r="D28" s="27" t="str">
        <x:v>ASZ-350</x:v>
      </x:c>
      <x:c r="E28" s="62" t="b">
        <x:v>1</x:v>
      </x:c>
      <x:c r="F28" s="27" t="n">
        <x:v>13</x:v>
      </x:c>
      <x:c r="G28" s="27" t="n">
        <x:v>100</x:v>
      </x:c>
      <x:c r="H28" s="27" t="n">
        <x:v>1000</x:v>
      </x:c>
      <x:c r="I28" s="27" t="n">
        <x:v>15</x:v>
      </x:c>
      <x:c r="J28" s="27" t="str">
        <x:v>&lt; 15 mm</x:v>
      </x:c>
      <x:c r="K28" s="27" t="n">
        <x:v>40</x:v>
      </x:c>
      <x:c r="L28" s="27" t="n">
        <x:v>500</x:v>
      </x:c>
      <x:c r="M28" s="27" t="str">
        <x:v>mesh</x:v>
      </x:c>
      <x:c r="N28" s="27" t="n">
        <x:v>15</x:v>
      </x:c>
      <x:c r="O28" s="27" t="n">
        <x:v>18.5</x:v>
      </x:c>
      <x:c r="P28" s="27" t="n">
        <x:v>12000</x:v>
      </x:c>
      <x:c r="Q28" s="27" t="n">
        <x:v>12000</x:v>
      </x:c>
      <x:c r="R28" s="27"/>
      <x:c r="S28" s="27"/>
      <x:c r="T28" s="27"/>
      <x:c r="U28" s="27"/>
      <x:c r="V28" s="27" t="str">
        <x:v>DTC-C-MayNghien-250426-demo4.pdf</x:v>
      </x:c>
      <x:c r="W28" s="48" t="str">
        <x:v>Đổi ký tự đầu của model từ B thành A.</x:v>
      </x:c>
    </x:row>
    <x:row r="29">
      <x:c r="A29" s="47" t="str">
        <x:v>BSZ_PIN__ASZ-450</x:v>
      </x:c>
      <x:c r="B29" s="27" t="str">
        <x:f>IF(A29=C29&amp;"__"&amp;SUBSTITUTE(SUBSTITUTE(D29,"/","_")," ","_"),"OK","CHECK ID")</x:f>
        <x:v>OK</x:v>
      </x:c>
      <x:c r="C29" s="27" t="str">
        <x:v>BSZ_PIN</x:v>
      </x:c>
      <x:c r="D29" s="27" t="str">
        <x:v>ASZ-450</x:v>
      </x:c>
      <x:c r="E29" s="62" t="b">
        <x:v>1</x:v>
      </x:c>
      <x:c r="F29" s="27" t="n">
        <x:v>13</x:v>
      </x:c>
      <x:c r="G29" s="27" t="n">
        <x:v>300</x:v>
      </x:c>
      <x:c r="H29" s="27" t="n">
        <x:v>1500</x:v>
      </x:c>
      <x:c r="I29" s="27" t="n">
        <x:v>15</x:v>
      </x:c>
      <x:c r="J29" s="27" t="str">
        <x:v>&lt; 15 mm</x:v>
      </x:c>
      <x:c r="K29" s="27" t="n">
        <x:v>40</x:v>
      </x:c>
      <x:c r="L29" s="27" t="n">
        <x:v>500</x:v>
      </x:c>
      <x:c r="M29" s="27" t="str">
        <x:v>mesh</x:v>
      </x:c>
      <x:c r="N29" s="27" t="n">
        <x:v>22</x:v>
      </x:c>
      <x:c r="O29" s="27" t="n">
        <x:v>30</x:v>
      </x:c>
      <x:c r="P29" s="27" t="n">
        <x:v>9600</x:v>
      </x:c>
      <x:c r="Q29" s="27" t="n">
        <x:v>9600</x:v>
      </x:c>
      <x:c r="R29" s="27"/>
      <x:c r="S29" s="27"/>
      <x:c r="T29" s="27"/>
      <x:c r="U29" s="27"/>
      <x:c r="V29" s="27" t="str">
        <x:v>DTC-C-MayNghien-250426-demo4.pdf</x:v>
      </x:c>
      <x:c r="W29" s="48" t="str">
        <x:v>Đổi ký tự đầu của model từ B thành A.</x:v>
      </x:c>
    </x:row>
    <x:row r="30">
      <x:c r="A30" s="47" t="str">
        <x:v>BSZ_PIN__ASZ-550</x:v>
      </x:c>
      <x:c r="B30" s="27" t="str">
        <x:f>IF(A30=C30&amp;"__"&amp;SUBSTITUTE(SUBSTITUTE(D30,"/","_")," ","_"),"OK","CHECK ID")</x:f>
        <x:v>OK</x:v>
      </x:c>
      <x:c r="C30" s="27" t="str">
        <x:v>BSZ_PIN</x:v>
      </x:c>
      <x:c r="D30" s="27" t="str">
        <x:v>ASZ-550</x:v>
      </x:c>
      <x:c r="E30" s="62" t="b">
        <x:v>1</x:v>
      </x:c>
      <x:c r="F30" s="27" t="n">
        <x:v>13</x:v>
      </x:c>
      <x:c r="G30" s="27" t="n">
        <x:v>600</x:v>
      </x:c>
      <x:c r="H30" s="27" t="n">
        <x:v>2000</x:v>
      </x:c>
      <x:c r="I30" s="27" t="n">
        <x:v>15</x:v>
      </x:c>
      <x:c r="J30" s="27" t="str">
        <x:v>&lt; 15 mm</x:v>
      </x:c>
      <x:c r="K30" s="27" t="n">
        <x:v>40</x:v>
      </x:c>
      <x:c r="L30" s="27" t="n">
        <x:v>500</x:v>
      </x:c>
      <x:c r="M30" s="27" t="str">
        <x:v>mesh</x:v>
      </x:c>
      <x:c r="N30" s="27" t="n">
        <x:v>30</x:v>
      </x:c>
      <x:c r="O30" s="27" t="n">
        <x:v>37</x:v>
      </x:c>
      <x:c r="P30" s="27" t="n">
        <x:v>8400</x:v>
      </x:c>
      <x:c r="Q30" s="27" t="n">
        <x:v>8400</x:v>
      </x:c>
      <x:c r="R30" s="27"/>
      <x:c r="S30" s="27"/>
      <x:c r="T30" s="27"/>
      <x:c r="U30" s="27"/>
      <x:c r="V30" s="27" t="str">
        <x:v>DTC-C-MayNghien-250426-demo4.pdf</x:v>
      </x:c>
      <x:c r="W30" s="48" t="str">
        <x:v>Đổi ký tự đầu của model từ B thành A.</x:v>
      </x:c>
    </x:row>
    <x:row r="31">
      <x:c r="A31" s="47" t="str">
        <x:v>BSZ_PIN__ASZ-630</x:v>
      </x:c>
      <x:c r="B31" s="27" t="str">
        <x:f>IF(A31=C31&amp;"__"&amp;SUBSTITUTE(SUBSTITUTE(D31,"/","_")," ","_"),"OK","CHECK ID")</x:f>
        <x:v>OK</x:v>
      </x:c>
      <x:c r="C31" s="27" t="str">
        <x:v>BSZ_PIN</x:v>
      </x:c>
      <x:c r="D31" s="27" t="str">
        <x:v>ASZ-630</x:v>
      </x:c>
      <x:c r="E31" s="62" t="b">
        <x:v>1</x:v>
      </x:c>
      <x:c r="F31" s="27" t="n">
        <x:v>13</x:v>
      </x:c>
      <x:c r="G31" s="27" t="n">
        <x:v>1000</x:v>
      </x:c>
      <x:c r="H31" s="27" t="n">
        <x:v>2500</x:v>
      </x:c>
      <x:c r="I31" s="27" t="n">
        <x:v>25</x:v>
      </x:c>
      <x:c r="J31" s="27" t="str">
        <x:v>&lt; 25 mm</x:v>
      </x:c>
      <x:c r="K31" s="27" t="n">
        <x:v>40</x:v>
      </x:c>
      <x:c r="L31" s="27" t="n">
        <x:v>500</x:v>
      </x:c>
      <x:c r="M31" s="27" t="str">
        <x:v>mesh</x:v>
      </x:c>
      <x:c r="N31" s="27" t="n">
        <x:v>55</x:v>
      </x:c>
      <x:c r="O31" s="27" t="n">
        <x:v>55</x:v>
      </x:c>
      <x:c r="P31" s="27" t="n">
        <x:v>6600</x:v>
      </x:c>
      <x:c r="Q31" s="27" t="n">
        <x:v>6600</x:v>
      </x:c>
      <x:c r="R31" s="27"/>
      <x:c r="S31" s="27"/>
      <x:c r="T31" s="27"/>
      <x:c r="U31" s="27"/>
      <x:c r="V31" s="27" t="str">
        <x:v>DTC-C-MayNghien-250426-demo4.pdf</x:v>
      </x:c>
      <x:c r="W31" s="48" t="str">
        <x:v>Đổi ký tự đầu của model từ B thành A.</x:v>
      </x:c>
    </x:row>
    <x:row r="32">
      <x:c r="A32" s="47" t="str">
        <x:v>BSF_BS_HAMMER__ASF-15</x:v>
      </x:c>
      <x:c r="B32" s="27" t="str">
        <x:f>IF(A32=C32&amp;"__"&amp;SUBSTITUTE(SUBSTITUTE(D32,"/","_")," ","_"),"OK","CHECK ID")</x:f>
        <x:v>OK</x:v>
      </x:c>
      <x:c r="C32" s="27" t="str">
        <x:v>BSF_BS_HAMMER</x:v>
      </x:c>
      <x:c r="D32" s="27" t="str">
        <x:v>ASF-15</x:v>
      </x:c>
      <x:c r="E32" s="62" t="b">
        <x:v>1</x:v>
      </x:c>
      <x:c r="F32" s="27" t="n">
        <x:v>15</x:v>
      </x:c>
      <x:c r="G32" s="27" t="n">
        <x:v>50</x:v>
      </x:c>
      <x:c r="H32" s="27" t="n">
        <x:v>300</x:v>
      </x:c>
      <x:c r="I32" s="27"/>
      <x:c r="J32" s="27"/>
      <x:c r="K32" s="27" t="n">
        <x:v>12</x:v>
      </x:c>
      <x:c r="L32" s="27" t="n">
        <x:v>120</x:v>
      </x:c>
      <x:c r="M32" s="27" t="str">
        <x:v>mesh</x:v>
      </x:c>
      <x:c r="N32" s="27" t="n">
        <x:v>7.5</x:v>
      </x:c>
      <x:c r="O32" s="27" t="n">
        <x:v>7.5</x:v>
      </x:c>
      <x:c r="P32" s="27"/>
      <x:c r="Q32" s="27"/>
      <x:c r="R32" s="27"/>
      <x:c r="S32" s="27"/>
      <x:c r="T32" s="27"/>
      <x:c r="U32" s="27"/>
      <x:c r="V32" s="27" t="str">
        <x:v>DTC-C-MayNghien-250426-demo4.pdf</x:v>
      </x:c>
      <x:c r="W32" s="48" t="str">
        <x:v>Đổi ký tự đầu của model từ B thành A.</x:v>
      </x:c>
    </x:row>
    <x:row r="33">
      <x:c r="A33" s="47" t="str">
        <x:v>BSF_BS_HAMMER__ASF-32</x:v>
      </x:c>
      <x:c r="B33" s="27" t="str">
        <x:f>IF(A33=C33&amp;"__"&amp;SUBSTITUTE(SUBSTITUTE(D33,"/","_")," ","_"),"OK","CHECK ID")</x:f>
        <x:v>OK</x:v>
      </x:c>
      <x:c r="C33" s="27" t="str">
        <x:v>BSF_BS_HAMMER</x:v>
      </x:c>
      <x:c r="D33" s="27" t="str">
        <x:v>ASF-32</x:v>
      </x:c>
      <x:c r="E33" s="62" t="b">
        <x:v>1</x:v>
      </x:c>
      <x:c r="F33" s="27" t="n">
        <x:v>15</x:v>
      </x:c>
      <x:c r="G33" s="27" t="n">
        <x:v>100</x:v>
      </x:c>
      <x:c r="H33" s="27" t="n">
        <x:v>400</x:v>
      </x:c>
      <x:c r="I33" s="27"/>
      <x:c r="J33" s="27"/>
      <x:c r="K33" s="27" t="n">
        <x:v>12</x:v>
      </x:c>
      <x:c r="L33" s="27" t="n">
        <x:v>120</x:v>
      </x:c>
      <x:c r="M33" s="27" t="str">
        <x:v>mesh</x:v>
      </x:c>
      <x:c r="N33" s="27" t="n">
        <x:v>11</x:v>
      </x:c>
      <x:c r="O33" s="27" t="n">
        <x:v>11</x:v>
      </x:c>
      <x:c r="P33" s="27"/>
      <x:c r="Q33" s="27"/>
      <x:c r="R33" s="27"/>
      <x:c r="S33" s="27"/>
      <x:c r="T33" s="27"/>
      <x:c r="U33" s="27"/>
      <x:c r="V33" s="27" t="str">
        <x:v>DTC-C-MayNghien-250426-demo4.pdf</x:v>
      </x:c>
      <x:c r="W33" s="48" t="str">
        <x:v>Đổi ký tự đầu của model từ B thành A.</x:v>
      </x:c>
    </x:row>
    <x:row r="34">
      <x:c r="A34" s="47" t="str">
        <x:v>BSF_BS_HAMMER__AS-200</x:v>
      </x:c>
      <x:c r="B34" s="27" t="str">
        <x:f>IF(A34=C34&amp;"__"&amp;SUBSTITUTE(SUBSTITUTE(D34,"/","_")," ","_"),"OK","CHECK ID")</x:f>
        <x:v>OK</x:v>
      </x:c>
      <x:c r="C34" s="27" t="str">
        <x:v>BSF_BS_HAMMER</x:v>
      </x:c>
      <x:c r="D34" s="27" t="str">
        <x:v>AS-200</x:v>
      </x:c>
      <x:c r="E34" s="62" t="b">
        <x:v>1</x:v>
      </x:c>
      <x:c r="F34" s="27" t="n">
        <x:v>15</x:v>
      </x:c>
      <x:c r="G34" s="27" t="n">
        <x:v>50</x:v>
      </x:c>
      <x:c r="H34" s="27" t="n">
        <x:v>300</x:v>
      </x:c>
      <x:c r="I34" s="27"/>
      <x:c r="J34" s="27"/>
      <x:c r="K34" s="27" t="n">
        <x:v>12</x:v>
      </x:c>
      <x:c r="L34" s="27" t="n">
        <x:v>120</x:v>
      </x:c>
      <x:c r="M34" s="27" t="str">
        <x:v>mesh</x:v>
      </x:c>
      <x:c r="N34" s="27" t="n">
        <x:v>7.5</x:v>
      </x:c>
      <x:c r="O34" s="27" t="n">
        <x:v>7.5</x:v>
      </x:c>
      <x:c r="P34" s="27"/>
      <x:c r="Q34" s="27"/>
      <x:c r="R34" s="27"/>
      <x:c r="S34" s="27"/>
      <x:c r="T34" s="27"/>
      <x:c r="U34" s="27"/>
      <x:c r="V34" s="27" t="str">
        <x:v>DTC-C-MayNghien-250426-demo4.pdf</x:v>
      </x:c>
      <x:c r="W34" s="48" t="str">
        <x:v>Đổi ký tự đầu của model từ B thành A.</x:v>
      </x:c>
    </x:row>
    <x:row r="35">
      <x:c r="A35" s="47" t="str">
        <x:v>BSF_BS_HAMMER__AS-320</x:v>
      </x:c>
      <x:c r="B35" s="27" t="str">
        <x:f>IF(A35=C35&amp;"__"&amp;SUBSTITUTE(SUBSTITUTE(D35,"/","_")," ","_"),"OK","CHECK ID")</x:f>
        <x:v>OK</x:v>
      </x:c>
      <x:c r="C35" s="27" t="str">
        <x:v>BSF_BS_HAMMER</x:v>
      </x:c>
      <x:c r="D35" s="27" t="str">
        <x:v>AS-320</x:v>
      </x:c>
      <x:c r="E35" s="62" t="b">
        <x:v>1</x:v>
      </x:c>
      <x:c r="F35" s="27" t="n">
        <x:v>15</x:v>
      </x:c>
      <x:c r="G35" s="27" t="n">
        <x:v>100</x:v>
      </x:c>
      <x:c r="H35" s="27" t="n">
        <x:v>400</x:v>
      </x:c>
      <x:c r="I35" s="27"/>
      <x:c r="J35" s="27"/>
      <x:c r="K35" s="27" t="n">
        <x:v>12</x:v>
      </x:c>
      <x:c r="L35" s="27" t="n">
        <x:v>120</x:v>
      </x:c>
      <x:c r="M35" s="27" t="str">
        <x:v>mesh</x:v>
      </x:c>
      <x:c r="N35" s="27" t="n">
        <x:v>11</x:v>
      </x:c>
      <x:c r="O35" s="27" t="n">
        <x:v>11</x:v>
      </x:c>
      <x:c r="P35" s="27"/>
      <x:c r="Q35" s="27"/>
      <x:c r="R35" s="27"/>
      <x:c r="S35" s="27"/>
      <x:c r="T35" s="27"/>
      <x:c r="U35" s="27"/>
      <x:c r="V35" s="27" t="str">
        <x:v>DTC-C-MayNghien-250426-demo4.pdf</x:v>
      </x:c>
      <x:c r="W35" s="48" t="str">
        <x:v>Đổi ký tự đầu của model từ B thành A.</x:v>
      </x:c>
    </x:row>
    <x:row r="36">
      <x:c r="A36" s="47" t="str">
        <x:v>BSF_BS_HAMMER__AS-400</x:v>
      </x:c>
      <x:c r="B36" s="27" t="str">
        <x:f>IF(A36=C36&amp;"__"&amp;SUBSTITUTE(SUBSTITUTE(D36,"/","_")," ","_"),"OK","CHECK ID")</x:f>
        <x:v>OK</x:v>
      </x:c>
      <x:c r="C36" s="27" t="str">
        <x:v>BSF_BS_HAMMER</x:v>
      </x:c>
      <x:c r="D36" s="27" t="str">
        <x:v>AS-400</x:v>
      </x:c>
      <x:c r="E36" s="62" t="b">
        <x:v>1</x:v>
      </x:c>
      <x:c r="F36" s="27" t="n">
        <x:v>15</x:v>
      </x:c>
      <x:c r="G36" s="27" t="n">
        <x:v>100</x:v>
      </x:c>
      <x:c r="H36" s="27" t="n">
        <x:v>1200</x:v>
      </x:c>
      <x:c r="I36" s="27"/>
      <x:c r="J36" s="27"/>
      <x:c r="K36" s="27" t="n">
        <x:v>12</x:v>
      </x:c>
      <x:c r="L36" s="27" t="n">
        <x:v>120</x:v>
      </x:c>
      <x:c r="M36" s="27" t="str">
        <x:v>mesh</x:v>
      </x:c>
      <x:c r="N36" s="27" t="n">
        <x:v>22</x:v>
      </x:c>
      <x:c r="O36" s="27" t="n">
        <x:v>37</x:v>
      </x:c>
      <x:c r="P36" s="27"/>
      <x:c r="Q36" s="27"/>
      <x:c r="R36" s="27"/>
      <x:c r="S36" s="27"/>
      <x:c r="T36" s="27"/>
      <x:c r="U36" s="27"/>
      <x:c r="V36" s="27" t="str">
        <x:v>DTC-C-MayNghien-250426-demo4.pdf</x:v>
      </x:c>
      <x:c r="W36" s="48" t="str">
        <x:v>Đổi ký tự đầu của model từ B thành A.</x:v>
      </x:c>
    </x:row>
    <x:row r="37">
      <x:c r="A37" s="47" t="str">
        <x:v>BSF_BS_HAMMER__AS-630</x:v>
      </x:c>
      <x:c r="B37" s="27" t="str">
        <x:f>IF(A37=C37&amp;"__"&amp;SUBSTITUTE(SUBSTITUTE(D37,"/","_")," ","_"),"OK","CHECK ID")</x:f>
        <x:v>OK</x:v>
      </x:c>
      <x:c r="C37" s="27" t="str">
        <x:v>BSF_BS_HAMMER</x:v>
      </x:c>
      <x:c r="D37" s="27" t="str">
        <x:v>AS-630</x:v>
      </x:c>
      <x:c r="E37" s="62" t="b">
        <x:v>1</x:v>
      </x:c>
      <x:c r="F37" s="27" t="n">
        <x:v>15</x:v>
      </x:c>
      <x:c r="G37" s="27" t="n">
        <x:v>300</x:v>
      </x:c>
      <x:c r="H37" s="27" t="n">
        <x:v>1800</x:v>
      </x:c>
      <x:c r="I37" s="27"/>
      <x:c r="J37" s="27"/>
      <x:c r="K37" s="27" t="n">
        <x:v>12</x:v>
      </x:c>
      <x:c r="L37" s="27" t="n">
        <x:v>120</x:v>
      </x:c>
      <x:c r="M37" s="27" t="str">
        <x:v>mesh</x:v>
      </x:c>
      <x:c r="N37" s="27" t="n">
        <x:v>37</x:v>
      </x:c>
      <x:c r="O37" s="27" t="n">
        <x:v>45</x:v>
      </x:c>
      <x:c r="P37" s="27"/>
      <x:c r="Q37" s="27"/>
      <x:c r="R37" s="27"/>
      <x:c r="S37" s="27"/>
      <x:c r="T37" s="27"/>
      <x:c r="U37" s="27"/>
      <x:c r="V37" s="27" t="str">
        <x:v>DTC-C-MayNghien-250426-demo4.pdf</x:v>
      </x:c>
      <x:c r="W37" s="48" t="str">
        <x:v>Đổi ký tự đầu của model từ B thành A.</x:v>
      </x:c>
    </x:row>
    <x:row r="38">
      <x:c r="A38" s="47" t="str">
        <x:v>BSF_BS_HAMMER__AS-880</x:v>
      </x:c>
      <x:c r="B38" s="27" t="str">
        <x:f>IF(A38=C38&amp;"__"&amp;SUBSTITUTE(SUBSTITUTE(D38,"/","_")," ","_"),"OK","CHECK ID")</x:f>
        <x:v>OK</x:v>
      </x:c>
      <x:c r="C38" s="27" t="str">
        <x:v>BSF_BS_HAMMER</x:v>
      </x:c>
      <x:c r="D38" s="27" t="str">
        <x:v>AS-880</x:v>
      </x:c>
      <x:c r="E38" s="62" t="b">
        <x:v>1</x:v>
      </x:c>
      <x:c r="F38" s="27" t="n">
        <x:v>15</x:v>
      </x:c>
      <x:c r="G38" s="27" t="n">
        <x:v>400</x:v>
      </x:c>
      <x:c r="H38" s="27" t="n">
        <x:v>2000</x:v>
      </x:c>
      <x:c r="I38" s="27"/>
      <x:c r="J38" s="27"/>
      <x:c r="K38" s="27" t="n">
        <x:v>12</x:v>
      </x:c>
      <x:c r="L38" s="27" t="n">
        <x:v>120</x:v>
      </x:c>
      <x:c r="M38" s="27" t="str">
        <x:v>mesh</x:v>
      </x:c>
      <x:c r="N38" s="27" t="n">
        <x:v>55</x:v>
      </x:c>
      <x:c r="O38" s="27" t="n">
        <x:v>55</x:v>
      </x:c>
      <x:c r="P38" s="27"/>
      <x:c r="Q38" s="27"/>
      <x:c r="R38" s="27"/>
      <x:c r="S38" s="27"/>
      <x:c r="T38" s="27"/>
      <x:c r="U38" s="27"/>
      <x:c r="V38" s="27" t="str">
        <x:v>DTC-C-MayNghien-250426-demo4.pdf</x:v>
      </x:c>
      <x:c r="W38" s="48" t="str">
        <x:v>Đổi ký tự đầu của model từ B thành A.</x:v>
      </x:c>
    </x:row>
    <x:row r="39">
      <x:c r="A39" s="47" t="str">
        <x:v>BSF_BS_HAMMER__AS-1000</x:v>
      </x:c>
      <x:c r="B39" s="27" t="str">
        <x:f>IF(A39=C39&amp;"__"&amp;SUBSTITUTE(SUBSTITUTE(D39,"/","_")," ","_"),"OK","CHECK ID")</x:f>
        <x:v>OK</x:v>
      </x:c>
      <x:c r="C39" s="27" t="str">
        <x:v>BSF_BS_HAMMER</x:v>
      </x:c>
      <x:c r="D39" s="27" t="str">
        <x:v>AS-1000</x:v>
      </x:c>
      <x:c r="E39" s="62" t="b">
        <x:v>1</x:v>
      </x:c>
      <x:c r="F39" s="27" t="n">
        <x:v>15</x:v>
      </x:c>
      <x:c r="G39" s="27" t="n">
        <x:v>1000</x:v>
      </x:c>
      <x:c r="H39" s="27" t="n">
        <x:v>3000</x:v>
      </x:c>
      <x:c r="I39" s="27"/>
      <x:c r="J39" s="27"/>
      <x:c r="K39" s="27" t="n">
        <x:v>12</x:v>
      </x:c>
      <x:c r="L39" s="27" t="n">
        <x:v>120</x:v>
      </x:c>
      <x:c r="M39" s="27" t="str">
        <x:v>mesh</x:v>
      </x:c>
      <x:c r="N39" s="27" t="n">
        <x:v>75</x:v>
      </x:c>
      <x:c r="O39" s="27" t="n">
        <x:v>75</x:v>
      </x:c>
      <x:c r="P39" s="27"/>
      <x:c r="Q39" s="27"/>
      <x:c r="R39" s="27"/>
      <x:c r="S39" s="27"/>
      <x:c r="T39" s="27"/>
      <x:c r="U39" s="27"/>
      <x:c r="V39" s="27" t="str">
        <x:v>DTC-C-MayNghien-250426-demo4.pdf</x:v>
      </x:c>
      <x:c r="W39" s="48" t="str">
        <x:v>Đổi ký tự đầu của model từ B thành A.</x:v>
      </x:c>
    </x:row>
    <x:row r="40">
      <x:c r="A40" s="47" t="str">
        <x:v>BSDF_MULTISTAGE__ASDF-350</x:v>
      </x:c>
      <x:c r="B40" s="27" t="str">
        <x:f>IF(A40=C40&amp;"__"&amp;SUBSTITUTE(SUBSTITUTE(D40,"/","_")," ","_"),"OK","CHECK ID")</x:f>
        <x:v>OK</x:v>
      </x:c>
      <x:c r="C40" s="27" t="str">
        <x:v>BSDF_MULTISTAGE</x:v>
      </x:c>
      <x:c r="D40" s="27" t="str">
        <x:v>ASDF-350</x:v>
      </x:c>
      <x:c r="E40" s="62" t="b">
        <x:v>1</x:v>
      </x:c>
      <x:c r="F40" s="27" t="n">
        <x:v>17</x:v>
      </x:c>
      <x:c r="G40" s="27" t="n">
        <x:v>100</x:v>
      </x:c>
      <x:c r="H40" s="27" t="n">
        <x:v>200</x:v>
      </x:c>
      <x:c r="I40" s="27"/>
      <x:c r="J40" s="27"/>
      <x:c r="K40" s="27" t="n">
        <x:v>20</x:v>
      </x:c>
      <x:c r="L40" s="27" t="n">
        <x:v>150</x:v>
      </x:c>
      <x:c r="M40" s="27" t="str">
        <x:v>mesh</x:v>
      </x:c>
      <x:c r="N40" s="27" t="n">
        <x:v>22</x:v>
      </x:c>
      <x:c r="O40" s="27" t="n">
        <x:v>22</x:v>
      </x:c>
      <x:c r="P40" s="27" t="n">
        <x:v>3500</x:v>
      </x:c>
      <x:c r="Q40" s="27" t="n">
        <x:v>4500</x:v>
      </x:c>
      <x:c r="R40" s="27"/>
      <x:c r="S40" s="27"/>
      <x:c r="T40" s="27"/>
      <x:c r="U40" s="27"/>
      <x:c r="V40" s="27" t="str">
        <x:v>DTC-C-MayNghien-250426-demo4.pdf</x:v>
      </x:c>
      <x:c r="W40" s="48" t="str">
        <x:v>Đổi ký tự đầu của model từ B thành A.</x:v>
      </x:c>
    </x:row>
    <x:row r="41">
      <x:c r="A41" s="47" t="str">
        <x:v>BSDF_MULTISTAGE__ASDF-450</x:v>
      </x:c>
      <x:c r="B41" s="27" t="str">
        <x:f>IF(A41=C41&amp;"__"&amp;SUBSTITUTE(SUBSTITUTE(D41,"/","_")," ","_"),"OK","CHECK ID")</x:f>
        <x:v>OK</x:v>
      </x:c>
      <x:c r="C41" s="27" t="str">
        <x:v>BSDF_MULTISTAGE</x:v>
      </x:c>
      <x:c r="D41" s="27" t="str">
        <x:v>ASDF-450</x:v>
      </x:c>
      <x:c r="E41" s="62" t="b">
        <x:v>1</x:v>
      </x:c>
      <x:c r="F41" s="27" t="n">
        <x:v>17</x:v>
      </x:c>
      <x:c r="G41" s="27" t="n">
        <x:v>300</x:v>
      </x:c>
      <x:c r="H41" s="27" t="n">
        <x:v>500</x:v>
      </x:c>
      <x:c r="I41" s="27"/>
      <x:c r="J41" s="27"/>
      <x:c r="K41" s="27" t="n">
        <x:v>20</x:v>
      </x:c>
      <x:c r="L41" s="27" t="n">
        <x:v>150</x:v>
      </x:c>
      <x:c r="M41" s="27" t="str">
        <x:v>mesh</x:v>
      </x:c>
      <x:c r="N41" s="27" t="n">
        <x:v>37</x:v>
      </x:c>
      <x:c r="O41" s="27" t="n">
        <x:v>37</x:v>
      </x:c>
      <x:c r="P41" s="27" t="n">
        <x:v>3300</x:v>
      </x:c>
      <x:c r="Q41" s="27" t="n">
        <x:v>4200</x:v>
      </x:c>
      <x:c r="R41" s="27"/>
      <x:c r="S41" s="27"/>
      <x:c r="T41" s="27"/>
      <x:c r="U41" s="27"/>
      <x:c r="V41" s="27" t="str">
        <x:v>DTC-C-MayNghien-250426-demo4.pdf</x:v>
      </x:c>
      <x:c r="W41" s="48" t="str">
        <x:v>Đổi ký tự đầu của model từ B thành A.</x:v>
      </x:c>
    </x:row>
    <x:row r="42">
      <x:c r="A42" s="47" t="str">
        <x:v>BSDF_MULTISTAGE__ASDF-550</x:v>
      </x:c>
      <x:c r="B42" s="27" t="str">
        <x:f>IF(A42=C42&amp;"__"&amp;SUBSTITUTE(SUBSTITUTE(D42,"/","_")," ","_"),"OK","CHECK ID")</x:f>
        <x:v>OK</x:v>
      </x:c>
      <x:c r="C42" s="27" t="str">
        <x:v>BSDF_MULTISTAGE</x:v>
      </x:c>
      <x:c r="D42" s="27" t="str">
        <x:v>ASDF-550</x:v>
      </x:c>
      <x:c r="E42" s="62" t="b">
        <x:v>1</x:v>
      </x:c>
      <x:c r="F42" s="27" t="n">
        <x:v>17</x:v>
      </x:c>
      <x:c r="G42" s="27" t="n">
        <x:v>600</x:v>
      </x:c>
      <x:c r="H42" s="27" t="n">
        <x:v>800</x:v>
      </x:c>
      <x:c r="I42" s="27"/>
      <x:c r="J42" s="27"/>
      <x:c r="K42" s="27" t="n">
        <x:v>20</x:v>
      </x:c>
      <x:c r="L42" s="27" t="n">
        <x:v>150</x:v>
      </x:c>
      <x:c r="M42" s="27" t="str">
        <x:v>mesh</x:v>
      </x:c>
      <x:c r="N42" s="27" t="n">
        <x:v>45</x:v>
      </x:c>
      <x:c r="O42" s="27" t="n">
        <x:v>45</x:v>
      </x:c>
      <x:c r="P42" s="27" t="n">
        <x:v>2900</x:v>
      </x:c>
      <x:c r="Q42" s="27" t="n">
        <x:v>3600</x:v>
      </x:c>
      <x:c r="R42" s="27"/>
      <x:c r="S42" s="27"/>
      <x:c r="T42" s="27"/>
      <x:c r="U42" s="27"/>
      <x:c r="V42" s="27" t="str">
        <x:v>DTC-C-MayNghien-250426-demo4.pdf</x:v>
      </x:c>
      <x:c r="W42" s="48" t="str">
        <x:v>Đổi ký tự đầu của model từ B thành A.</x:v>
      </x:c>
    </x:row>
    <x:row r="43">
      <x:c r="A43" s="47" t="str">
        <x:v>BSDF_MULTISTAGE__ASDF-750</x:v>
      </x:c>
      <x:c r="B43" s="27" t="str">
        <x:f>IF(A43=C43&amp;"__"&amp;SUBSTITUTE(SUBSTITUTE(D43,"/","_")," ","_"),"OK","CHECK ID")</x:f>
        <x:v>OK</x:v>
      </x:c>
      <x:c r="C43" s="27" t="str">
        <x:v>BSDF_MULTISTAGE</x:v>
      </x:c>
      <x:c r="D43" s="27" t="str">
        <x:v>ASDF-750</x:v>
      </x:c>
      <x:c r="E43" s="62" t="b">
        <x:v>1</x:v>
      </x:c>
      <x:c r="F43" s="27" t="n">
        <x:v>17</x:v>
      </x:c>
      <x:c r="G43" s="27" t="n">
        <x:v>800</x:v>
      </x:c>
      <x:c r="H43" s="27" t="n">
        <x:v>1300</x:v>
      </x:c>
      <x:c r="I43" s="27"/>
      <x:c r="J43" s="27"/>
      <x:c r="K43" s="27" t="n">
        <x:v>20</x:v>
      </x:c>
      <x:c r="L43" s="27" t="n">
        <x:v>150</x:v>
      </x:c>
      <x:c r="M43" s="27" t="str">
        <x:v>mesh</x:v>
      </x:c>
      <x:c r="N43" s="27" t="n">
        <x:v>55</x:v>
      </x:c>
      <x:c r="O43" s="27" t="n">
        <x:v>75</x:v>
      </x:c>
      <x:c r="P43" s="27" t="n">
        <x:v>2100</x:v>
      </x:c>
      <x:c r="Q43" s="27" t="n">
        <x:v>2700</x:v>
      </x:c>
      <x:c r="R43" s="27"/>
      <x:c r="S43" s="27"/>
      <x:c r="T43" s="27"/>
      <x:c r="U43" s="27"/>
      <x:c r="V43" s="27" t="str">
        <x:v>DTC-C-MayNghien-250426-demo4.pdf</x:v>
      </x:c>
      <x:c r="W43" s="48" t="str">
        <x:v>Đổi ký tự đầu của model từ B thành A.</x:v>
      </x:c>
    </x:row>
    <x:row r="44">
      <x:c r="A44" s="47" t="str">
        <x:v>BS_ROLLER__AS150-3</x:v>
      </x:c>
      <x:c r="B44" s="27" t="str">
        <x:f>IF(A44=C44&amp;"__"&amp;SUBSTITUTE(SUBSTITUTE(D44,"/","_")," ","_"),"OK","CHECK ID")</x:f>
        <x:v>OK</x:v>
      </x:c>
      <x:c r="C44" s="27" t="str">
        <x:v>BS_ROLLER</x:v>
      </x:c>
      <x:c r="D44" s="27" t="str">
        <x:v>AS150-3</x:v>
      </x:c>
      <x:c r="E44" s="62" t="b">
        <x:v>1</x:v>
      </x:c>
      <x:c r="F44" s="27" t="n">
        <x:v>18</x:v>
      </x:c>
      <x:c r="G44" s="27" t="n">
        <x:v>50</x:v>
      </x:c>
      <x:c r="H44" s="27" t="n">
        <x:v>200</x:v>
      </x:c>
      <x:c r="I44" s="27"/>
      <x:c r="J44" s="27"/>
      <x:c r="K44" s="27" t="n">
        <x:v>10</x:v>
      </x:c>
      <x:c r="L44" s="27" t="n">
        <x:v>40</x:v>
      </x:c>
      <x:c r="M44" s="27" t="str">
        <x:v>mesh</x:v>
      </x:c>
      <x:c r="N44" s="27" t="n">
        <x:v>2.2</x:v>
      </x:c>
      <x:c r="O44" s="27" t="n">
        <x:v>2.2</x:v>
      </x:c>
      <x:c r="P44" s="27"/>
      <x:c r="Q44" s="27"/>
      <x:c r="R44" s="27" t="n">
        <x:v>780</x:v>
      </x:c>
      <x:c r="S44" s="27" t="n">
        <x:v>670</x:v>
      </x:c>
      <x:c r="T44" s="27" t="n">
        <x:v>1600</x:v>
      </x:c>
      <x:c r="U44" s="27" t="n">
        <x:v>350</x:v>
      </x:c>
      <x:c r="V44" s="27" t="str">
        <x:v>DTC-C-MayNghien-250426-demo4.pdf</x:v>
      </x:c>
      <x:c r="W44" s="48" t="str">
        <x:v>Đổi ký tự đầu của model từ B thành A.</x:v>
      </x:c>
    </x:row>
    <x:row r="45">
      <x:c r="A45" s="47" t="str">
        <x:v>BS_ROLLER__AS150-4</x:v>
      </x:c>
      <x:c r="B45" s="27" t="str">
        <x:f>IF(A45=C45&amp;"__"&amp;SUBSTITUTE(SUBSTITUTE(D45,"/","_")," ","_"),"OK","CHECK ID")</x:f>
        <x:v>OK</x:v>
      </x:c>
      <x:c r="C45" s="27" t="str">
        <x:v>BS_ROLLER</x:v>
      </x:c>
      <x:c r="D45" s="27" t="str">
        <x:v>AS150-4</x:v>
      </x:c>
      <x:c r="E45" s="62" t="b">
        <x:v>1</x:v>
      </x:c>
      <x:c r="F45" s="27" t="n">
        <x:v>18</x:v>
      </x:c>
      <x:c r="G45" s="27" t="n">
        <x:v>50</x:v>
      </x:c>
      <x:c r="H45" s="27" t="n">
        <x:v>200</x:v>
      </x:c>
      <x:c r="I45" s="27"/>
      <x:c r="J45" s="27"/>
      <x:c r="K45" s="27" t="n">
        <x:v>10</x:v>
      </x:c>
      <x:c r="L45" s="27" t="n">
        <x:v>40</x:v>
      </x:c>
      <x:c r="M45" s="27" t="str">
        <x:v>mesh</x:v>
      </x:c>
      <x:c r="N45" s="27" t="n">
        <x:v>3</x:v>
      </x:c>
      <x:c r="O45" s="27" t="n">
        <x:v>3</x:v>
      </x:c>
      <x:c r="P45" s="27"/>
      <x:c r="Q45" s="27"/>
      <x:c r="R45" s="27" t="n">
        <x:v>780</x:v>
      </x:c>
      <x:c r="S45" s="27" t="n">
        <x:v>670</x:v>
      </x:c>
      <x:c r="T45" s="27" t="n">
        <x:v>1850</x:v>
      </x:c>
      <x:c r="U45" s="27" t="n">
        <x:v>520</x:v>
      </x:c>
      <x:c r="V45" s="27" t="str">
        <x:v>DTC-C-MayNghien-250426-demo4.pdf</x:v>
      </x:c>
      <x:c r="W45" s="48" t="str">
        <x:v>Đổi ký tự đầu của model từ B thành A.</x:v>
      </x:c>
    </x:row>
    <x:row r="46">
      <x:c r="A46" s="47" t="str">
        <x:v>BS_ROLLER__AS250-3</x:v>
      </x:c>
      <x:c r="B46" s="27" t="str">
        <x:f>IF(A46=C46&amp;"__"&amp;SUBSTITUTE(SUBSTITUTE(D46,"/","_")," ","_"),"OK","CHECK ID")</x:f>
        <x:v>OK</x:v>
      </x:c>
      <x:c r="C46" s="27" t="str">
        <x:v>BS_ROLLER</x:v>
      </x:c>
      <x:c r="D46" s="27" t="str">
        <x:v>AS250-3</x:v>
      </x:c>
      <x:c r="E46" s="62" t="b">
        <x:v>1</x:v>
      </x:c>
      <x:c r="F46" s="27" t="n">
        <x:v>18</x:v>
      </x:c>
      <x:c r="G46" s="27" t="n">
        <x:v>100</x:v>
      </x:c>
      <x:c r="H46" s="27" t="n">
        <x:v>400</x:v>
      </x:c>
      <x:c r="I46" s="27"/>
      <x:c r="J46" s="27"/>
      <x:c r="K46" s="27" t="n">
        <x:v>10</x:v>
      </x:c>
      <x:c r="L46" s="27" t="n">
        <x:v>40</x:v>
      </x:c>
      <x:c r="M46" s="27" t="str">
        <x:v>mesh</x:v>
      </x:c>
      <x:c r="N46" s="27" t="n">
        <x:v>5.5</x:v>
      </x:c>
      <x:c r="O46" s="27" t="n">
        <x:v>5.5</x:v>
      </x:c>
      <x:c r="P46" s="27"/>
      <x:c r="Q46" s="27"/>
      <x:c r="R46" s="27" t="n">
        <x:v>920</x:v>
      </x:c>
      <x:c r="S46" s="27" t="n">
        <x:v>720</x:v>
      </x:c>
      <x:c r="T46" s="27" t="n">
        <x:v>1750</x:v>
      </x:c>
      <x:c r="U46" s="27" t="n">
        <x:v>580</x:v>
      </x:c>
      <x:c r="V46" s="27" t="str">
        <x:v>DTC-C-MayNghien-250426-demo4.pdf</x:v>
      </x:c>
      <x:c r="W46" s="48" t="str">
        <x:v>Đổi ký tự đầu của model từ B thành A.</x:v>
      </x:c>
    </x:row>
    <x:row r="47">
      <x:c r="A47" s="47" t="str">
        <x:v>BS_ROLLER__AS250-4</x:v>
      </x:c>
      <x:c r="B47" s="27" t="str">
        <x:f>IF(A47=C47&amp;"__"&amp;SUBSTITUTE(SUBSTITUTE(D47,"/","_")," ","_"),"OK","CHECK ID")</x:f>
        <x:v>OK</x:v>
      </x:c>
      <x:c r="C47" s="27" t="str">
        <x:v>BS_ROLLER</x:v>
      </x:c>
      <x:c r="D47" s="27" t="str">
        <x:v>AS250-4</x:v>
      </x:c>
      <x:c r="E47" s="62" t="b">
        <x:v>1</x:v>
      </x:c>
      <x:c r="F47" s="27" t="n">
        <x:v>18</x:v>
      </x:c>
      <x:c r="G47" s="27" t="n">
        <x:v>100</x:v>
      </x:c>
      <x:c r="H47" s="27" t="n">
        <x:v>400</x:v>
      </x:c>
      <x:c r="I47" s="27"/>
      <x:c r="J47" s="27"/>
      <x:c r="K47" s="27" t="n">
        <x:v>10</x:v>
      </x:c>
      <x:c r="L47" s="27" t="n">
        <x:v>40</x:v>
      </x:c>
      <x:c r="M47" s="27" t="str">
        <x:v>mesh</x:v>
      </x:c>
      <x:c r="N47" s="27" t="n">
        <x:v>7.5</x:v>
      </x:c>
      <x:c r="O47" s="27" t="n">
        <x:v>7.5</x:v>
      </x:c>
      <x:c r="P47" s="27"/>
      <x:c r="Q47" s="27"/>
      <x:c r="R47" s="27" t="n">
        <x:v>920</x:v>
      </x:c>
      <x:c r="S47" s="27" t="n">
        <x:v>720</x:v>
      </x:c>
      <x:c r="T47" s="27" t="n">
        <x:v>2000</x:v>
      </x:c>
      <x:c r="U47" s="27" t="n">
        <x:v>750</x:v>
      </x:c>
      <x:c r="V47" s="27" t="str">
        <x:v>DTC-C-MayNghien-250426-demo4.pdf</x:v>
      </x:c>
      <x:c r="W47" s="48" t="str">
        <x:v>Đổi ký tự đầu của model từ B thành A.</x:v>
      </x:c>
    </x:row>
    <x:row r="48">
      <x:c r="A48" s="47" t="str">
        <x:v>BS_ROLLER__AS500-3</x:v>
      </x:c>
      <x:c r="B48" s="27" t="str">
        <x:f>IF(A48=C48&amp;"__"&amp;SUBSTITUTE(SUBSTITUTE(D48,"/","_")," ","_"),"OK","CHECK ID")</x:f>
        <x:v>OK</x:v>
      </x:c>
      <x:c r="C48" s="27" t="str">
        <x:v>BS_ROLLER</x:v>
      </x:c>
      <x:c r="D48" s="27" t="str">
        <x:v>AS500-3</x:v>
      </x:c>
      <x:c r="E48" s="62" t="b">
        <x:v>1</x:v>
      </x:c>
      <x:c r="F48" s="27" t="n">
        <x:v>18</x:v>
      </x:c>
      <x:c r="G48" s="27" t="n">
        <x:v>200</x:v>
      </x:c>
      <x:c r="H48" s="27" t="n">
        <x:v>500</x:v>
      </x:c>
      <x:c r="I48" s="27"/>
      <x:c r="J48" s="27"/>
      <x:c r="K48" s="27" t="n">
        <x:v>10</x:v>
      </x:c>
      <x:c r="L48" s="27" t="n">
        <x:v>40</x:v>
      </x:c>
      <x:c r="M48" s="27" t="str">
        <x:v>mesh</x:v>
      </x:c>
      <x:c r="N48" s="27" t="n">
        <x:v>11</x:v>
      </x:c>
      <x:c r="O48" s="27" t="n">
        <x:v>11</x:v>
      </x:c>
      <x:c r="P48" s="27"/>
      <x:c r="Q48" s="27"/>
      <x:c r="R48" s="27" t="n">
        <x:v>1340</x:v>
      </x:c>
      <x:c r="S48" s="27" t="n">
        <x:v>1210</x:v>
      </x:c>
      <x:c r="T48" s="27" t="n">
        <x:v>2000</x:v>
      </x:c>
      <x:c r="U48" s="27" t="n">
        <x:v>1200</x:v>
      </x:c>
      <x:c r="V48" s="27" t="str">
        <x:v>DTC-C-MayNghien-250426-demo4.pdf</x:v>
      </x:c>
      <x:c r="W48" s="48" t="str">
        <x:v>Đổi ký tự đầu của model từ B thành A.</x:v>
      </x:c>
    </x:row>
    <x:row r="49">
      <x:c r="A49" s="47" t="str">
        <x:v>BS_ROLLER__AS500-4</x:v>
      </x:c>
      <x:c r="B49" s="27" t="str">
        <x:f>IF(A49=C49&amp;"__"&amp;SUBSTITUTE(SUBSTITUTE(D49,"/","_")," ","_"),"OK","CHECK ID")</x:f>
        <x:v>OK</x:v>
      </x:c>
      <x:c r="C49" s="27" t="str">
        <x:v>BS_ROLLER</x:v>
      </x:c>
      <x:c r="D49" s="27" t="str">
        <x:v>AS500-4</x:v>
      </x:c>
      <x:c r="E49" s="62" t="b">
        <x:v>1</x:v>
      </x:c>
      <x:c r="F49" s="27" t="n">
        <x:v>18</x:v>
      </x:c>
      <x:c r="G49" s="27" t="n">
        <x:v>200</x:v>
      </x:c>
      <x:c r="H49" s="27" t="n">
        <x:v>500</x:v>
      </x:c>
      <x:c r="I49" s="27"/>
      <x:c r="J49" s="27"/>
      <x:c r="K49" s="27" t="n">
        <x:v>10</x:v>
      </x:c>
      <x:c r="L49" s="27" t="n">
        <x:v>40</x:v>
      </x:c>
      <x:c r="M49" s="27" t="str">
        <x:v>mesh</x:v>
      </x:c>
      <x:c r="N49" s="27" t="n">
        <x:v>15</x:v>
      </x:c>
      <x:c r="O49" s="27" t="n">
        <x:v>15</x:v>
      </x:c>
      <x:c r="P49" s="27"/>
      <x:c r="Q49" s="27"/>
      <x:c r="R49" s="27" t="n">
        <x:v>1340</x:v>
      </x:c>
      <x:c r="S49" s="27" t="n">
        <x:v>1210</x:v>
      </x:c>
      <x:c r="T49" s="27" t="n">
        <x:v>2250</x:v>
      </x:c>
      <x:c r="U49" s="27" t="n">
        <x:v>1400</x:v>
      </x:c>
      <x:c r="V49" s="27" t="str">
        <x:v>DTC-C-MayNghien-250426-demo4.pdf</x:v>
      </x:c>
      <x:c r="W49" s="48" t="str">
        <x:v>Đổi ký tự đầu của model từ B thành A.</x:v>
      </x:c>
    </x:row>
    <x:row r="50">
      <x:c r="A50" s="47" t="str">
        <x:v>BSK_JET__ASK-100</x:v>
      </x:c>
      <x:c r="B50" s="27" t="str">
        <x:f>IF(A50=C50&amp;"__"&amp;SUBSTITUTE(SUBSTITUTE(D50,"/","_")," ","_"),"OK","CHECK ID")</x:f>
        <x:v>OK</x:v>
      </x:c>
      <x:c r="C50" s="27" t="str">
        <x:v>BSK_JET</x:v>
      </x:c>
      <x:c r="D50" s="27" t="str">
        <x:v>ASK-100</x:v>
      </x:c>
      <x:c r="E50" s="62" t="b">
        <x:v>1</x:v>
      </x:c>
      <x:c r="F50" s="27" t="n">
        <x:v>19</x:v>
      </x:c>
      <x:c r="G50" s="27" t="n">
        <x:v>0.5</x:v>
      </x:c>
      <x:c r="H50" s="27" t="n">
        <x:v>10</x:v>
      </x:c>
      <x:c r="I50" s="27"/>
      <x:c r="J50" s="27"/>
      <x:c r="K50" s="27" t="n">
        <x:v>0.5</x:v>
      </x:c>
      <x:c r="L50" s="27" t="n">
        <x:v>30</x:v>
      </x:c>
      <x:c r="M50" s="27" t="str">
        <x:v>µm</x:v>
      </x:c>
      <x:c r="N50" s="27"/>
      <x:c r="O50" s="27"/>
      <x:c r="P50" s="27"/>
      <x:c r="Q50" s="27"/>
      <x:c r="R50" s="27"/>
      <x:c r="S50" s="27"/>
      <x:c r="T50" s="27"/>
      <x:c r="U50" s="27"/>
      <x:c r="V50" s="27" t="str">
        <x:v>DTC-C-MayNghien-250426-demo4.pdf</x:v>
      </x:c>
      <x:c r="W50" s="48" t="str">
        <x:v>Đổi ký tự đầu của model từ B thành A.</x:v>
      </x:c>
    </x:row>
    <x:row r="51">
      <x:c r="A51" s="47" t="str">
        <x:v>BSK_JET__ASK-200</x:v>
      </x:c>
      <x:c r="B51" s="27" t="str">
        <x:f>IF(A51=C51&amp;"__"&amp;SUBSTITUTE(SUBSTITUTE(D51,"/","_")," ","_"),"OK","CHECK ID")</x:f>
        <x:v>OK</x:v>
      </x:c>
      <x:c r="C51" s="27" t="str">
        <x:v>BSK_JET</x:v>
      </x:c>
      <x:c r="D51" s="27" t="str">
        <x:v>ASK-200</x:v>
      </x:c>
      <x:c r="E51" s="62" t="b">
        <x:v>1</x:v>
      </x:c>
      <x:c r="F51" s="27" t="n">
        <x:v>19</x:v>
      </x:c>
      <x:c r="G51" s="27" t="n">
        <x:v>10</x:v>
      </x:c>
      <x:c r="H51" s="27" t="n">
        <x:v>100</x:v>
      </x:c>
      <x:c r="I51" s="27"/>
      <x:c r="J51" s="27"/>
      <x:c r="K51" s="27" t="n">
        <x:v>0.5</x:v>
      </x:c>
      <x:c r="L51" s="27" t="n">
        <x:v>30</x:v>
      </x:c>
      <x:c r="M51" s="27" t="str">
        <x:v>µm</x:v>
      </x:c>
      <x:c r="N51" s="27"/>
      <x:c r="O51" s="27"/>
      <x:c r="P51" s="27"/>
      <x:c r="Q51" s="27"/>
      <x:c r="R51" s="27"/>
      <x:c r="S51" s="27"/>
      <x:c r="T51" s="27"/>
      <x:c r="U51" s="27"/>
      <x:c r="V51" s="27" t="str">
        <x:v>DTC-C-MayNghien-250426-demo4.pdf</x:v>
      </x:c>
      <x:c r="W51" s="48" t="str">
        <x:v>Đổi ký tự đầu của model từ B thành A.</x:v>
      </x:c>
    </x:row>
    <x:row r="52">
      <x:c r="A52" s="47" t="str">
        <x:v>BSK_JET__ASK-300</x:v>
      </x:c>
      <x:c r="B52" s="27" t="str">
        <x:f>IF(A52=C52&amp;"__"&amp;SUBSTITUTE(SUBSTITUTE(D52,"/","_")," ","_"),"OK","CHECK ID")</x:f>
        <x:v>OK</x:v>
      </x:c>
      <x:c r="C52" s="27" t="str">
        <x:v>BSK_JET</x:v>
      </x:c>
      <x:c r="D52" s="27" t="str">
        <x:v>ASK-300</x:v>
      </x:c>
      <x:c r="E52" s="62" t="b">
        <x:v>1</x:v>
      </x:c>
      <x:c r="F52" s="27" t="n">
        <x:v>19</x:v>
      </x:c>
      <x:c r="G52" s="27" t="n">
        <x:v>80</x:v>
      </x:c>
      <x:c r="H52" s="27" t="n">
        <x:v>200</x:v>
      </x:c>
      <x:c r="I52" s="27"/>
      <x:c r="J52" s="27"/>
      <x:c r="K52" s="27" t="n">
        <x:v>0.5</x:v>
      </x:c>
      <x:c r="L52" s="27" t="n">
        <x:v>30</x:v>
      </x:c>
      <x:c r="M52" s="27" t="str">
        <x:v>µm</x:v>
      </x:c>
      <x:c r="N52" s="27"/>
      <x:c r="O52" s="27"/>
      <x:c r="P52" s="27"/>
      <x:c r="Q52" s="27"/>
      <x:c r="R52" s="27"/>
      <x:c r="S52" s="27"/>
      <x:c r="T52" s="27"/>
      <x:c r="U52" s="27"/>
      <x:c r="V52" s="27" t="str">
        <x:v>DTC-C-MayNghien-250426-demo4.pdf</x:v>
      </x:c>
      <x:c r="W52" s="48" t="str">
        <x:v>Đổi ký tự đầu của model từ B thành A.</x:v>
      </x:c>
    </x:row>
    <x:row r="53">
      <x:c r="A53" s="47" t="str">
        <x:v>BSK_JET__ASK-400</x:v>
      </x:c>
      <x:c r="B53" s="27" t="str">
        <x:f>IF(A53=C53&amp;"__"&amp;SUBSTITUTE(SUBSTITUTE(D53,"/","_")," ","_"),"OK","CHECK ID")</x:f>
        <x:v>OK</x:v>
      </x:c>
      <x:c r="C53" s="27" t="str">
        <x:v>BSK_JET</x:v>
      </x:c>
      <x:c r="D53" s="27" t="str">
        <x:v>ASK-400</x:v>
      </x:c>
      <x:c r="E53" s="62" t="b">
        <x:v>1</x:v>
      </x:c>
      <x:c r="F53" s="27" t="n">
        <x:v>19</x:v>
      </x:c>
      <x:c r="G53" s="27" t="n">
        <x:v>100</x:v>
      </x:c>
      <x:c r="H53" s="27" t="n">
        <x:v>500</x:v>
      </x:c>
      <x:c r="I53" s="27"/>
      <x:c r="J53" s="27"/>
      <x:c r="K53" s="27" t="n">
        <x:v>0.5</x:v>
      </x:c>
      <x:c r="L53" s="27" t="n">
        <x:v>30</x:v>
      </x:c>
      <x:c r="M53" s="27" t="str">
        <x:v>µm</x:v>
      </x:c>
      <x:c r="N53" s="27"/>
      <x:c r="O53" s="27"/>
      <x:c r="P53" s="27"/>
      <x:c r="Q53" s="27"/>
      <x:c r="R53" s="27"/>
      <x:c r="S53" s="27"/>
      <x:c r="T53" s="27"/>
      <x:c r="U53" s="27"/>
      <x:c r="V53" s="27" t="str">
        <x:v>DTC-C-MayNghien-250426-demo4.pdf</x:v>
      </x:c>
      <x:c r="W53" s="48" t="str">
        <x:v>Đổi ký tự đầu của model từ B thành A.</x:v>
      </x:c>
    </x:row>
    <x:row r="54">
      <x:c r="A54" s="47" t="str">
        <x:v>BSK_JET__ASK-600</x:v>
      </x:c>
      <x:c r="B54" s="27" t="str">
        <x:f>IF(A54=C54&amp;"__"&amp;SUBSTITUTE(SUBSTITUTE(D54,"/","_")," ","_"),"OK","CHECK ID")</x:f>
        <x:v>OK</x:v>
      </x:c>
      <x:c r="C54" s="27" t="str">
        <x:v>BSK_JET</x:v>
      </x:c>
      <x:c r="D54" s="27" t="str">
        <x:v>ASK-600</x:v>
      </x:c>
      <x:c r="E54" s="62" t="b">
        <x:v>1</x:v>
      </x:c>
      <x:c r="F54" s="27" t="n">
        <x:v>19</x:v>
      </x:c>
      <x:c r="G54" s="27" t="n">
        <x:v>200</x:v>
      </x:c>
      <x:c r="H54" s="27" t="n">
        <x:v>700</x:v>
      </x:c>
      <x:c r="I54" s="27"/>
      <x:c r="J54" s="27"/>
      <x:c r="K54" s="27" t="n">
        <x:v>0.5</x:v>
      </x:c>
      <x:c r="L54" s="27" t="n">
        <x:v>30</x:v>
      </x:c>
      <x:c r="M54" s="27" t="str">
        <x:v>µm</x:v>
      </x:c>
      <x:c r="N54" s="27"/>
      <x:c r="O54" s="27"/>
      <x:c r="P54" s="27"/>
      <x:c r="Q54" s="27"/>
      <x:c r="R54" s="27"/>
      <x:c r="S54" s="27"/>
      <x:c r="T54" s="27"/>
      <x:c r="U54" s="27"/>
      <x:c r="V54" s="27" t="str">
        <x:v>DTC-C-MayNghien-250426-demo4.pdf</x:v>
      </x:c>
      <x:c r="W54" s="48" t="str">
        <x:v>Đổi ký tự đầu của model từ B thành A.</x:v>
      </x:c>
    </x:row>
    <x:row r="55">
      <x:c r="A55" s="47" t="str">
        <x:v>BSK_JET__ASK-800</x:v>
      </x:c>
      <x:c r="B55" s="27" t="str">
        <x:f>IF(A55=C55&amp;"__"&amp;SUBSTITUTE(SUBSTITUTE(D55,"/","_")," ","_"),"OK","CHECK ID")</x:f>
        <x:v>OK</x:v>
      </x:c>
      <x:c r="C55" s="27" t="str">
        <x:v>BSK_JET</x:v>
      </x:c>
      <x:c r="D55" s="27" t="str">
        <x:v>ASK-800</x:v>
      </x:c>
      <x:c r="E55" s="62" t="b">
        <x:v>1</x:v>
      </x:c>
      <x:c r="F55" s="27" t="n">
        <x:v>19</x:v>
      </x:c>
      <x:c r="G55" s="27" t="n">
        <x:v>400</x:v>
      </x:c>
      <x:c r="H55" s="27" t="n">
        <x:v>1500</x:v>
      </x:c>
      <x:c r="I55" s="27"/>
      <x:c r="J55" s="27"/>
      <x:c r="K55" s="27" t="n">
        <x:v>0.5</x:v>
      </x:c>
      <x:c r="L55" s="27" t="n">
        <x:v>30</x:v>
      </x:c>
      <x:c r="M55" s="27" t="str">
        <x:v>µm</x:v>
      </x:c>
      <x:c r="N55" s="27"/>
      <x:c r="O55" s="27"/>
      <x:c r="P55" s="27"/>
      <x:c r="Q55" s="27"/>
      <x:c r="R55" s="27"/>
      <x:c r="S55" s="27"/>
      <x:c r="T55" s="27"/>
      <x:c r="U55" s="27"/>
      <x:c r="V55" s="27" t="str">
        <x:v>DTC-C-MayNghien-250426-demo4.pdf</x:v>
      </x:c>
      <x:c r="W55" s="48" t="str">
        <x:v>Đổi ký tự đầu của model từ B thành A.</x:v>
      </x:c>
    </x:row>
    <x:row r="56">
      <x:c r="A56" s="47" t="str">
        <x:v>BS_CRYOGENIC__AS-200</x:v>
      </x:c>
      <x:c r="B56" s="27" t="str">
        <x:f>IF(A56=C56&amp;"__"&amp;SUBSTITUTE(SUBSTITUTE(D56,"/","_")," ","_"),"OK","CHECK ID")</x:f>
        <x:v>OK</x:v>
      </x:c>
      <x:c r="C56" s="27" t="str">
        <x:v>BS_CRYOGENIC</x:v>
      </x:c>
      <x:c r="D56" s="27" t="str">
        <x:v>AS-200</x:v>
      </x:c>
      <x:c r="E56" s="62" t="b">
        <x:v>1</x:v>
      </x:c>
      <x:c r="F56" s="27" t="n">
        <x:v>20</x:v>
      </x:c>
      <x:c r="G56" s="27" t="n">
        <x:v>30</x:v>
      </x:c>
      <x:c r="H56" s="27" t="n">
        <x:v>150</x:v>
      </x:c>
      <x:c r="I56" s="27" t="n">
        <x:v>15</x:v>
      </x:c>
      <x:c r="J56" s="27" t="str">
        <x:v>5 - 15 mm</x:v>
      </x:c>
      <x:c r="K56" s="27" t="n">
        <x:v>10</x:v>
      </x:c>
      <x:c r="L56" s="27" t="n">
        <x:v>700</x:v>
      </x:c>
      <x:c r="M56" s="27" t="str">
        <x:v>mesh</x:v>
      </x:c>
      <x:c r="N56" s="27" t="n">
        <x:v>7.5</x:v>
      </x:c>
      <x:c r="O56" s="27" t="n">
        <x:v>7.5</x:v>
      </x:c>
      <x:c r="P56" s="27"/>
      <x:c r="Q56" s="27"/>
      <x:c r="R56" s="27"/>
      <x:c r="S56" s="27"/>
      <x:c r="T56" s="27"/>
      <x:c r="U56" s="27"/>
      <x:c r="V56" s="27" t="str">
        <x:v>DTC-C-MayNghien-250426-demo4.pdf</x:v>
      </x:c>
      <x:c r="W56" s="48" t="str">
        <x:v>Đổi ký tự đầu của model từ B thành A.</x:v>
      </x:c>
    </x:row>
    <x:row r="57">
      <x:c r="A57" s="47" t="str">
        <x:v>BS_CRYOGENIC__AS-400</x:v>
      </x:c>
      <x:c r="B57" s="27" t="str">
        <x:f>IF(A57=C57&amp;"__"&amp;SUBSTITUTE(SUBSTITUTE(D57,"/","_")," ","_"),"OK","CHECK ID")</x:f>
        <x:v>OK</x:v>
      </x:c>
      <x:c r="C57" s="27" t="str">
        <x:v>BS_CRYOGENIC</x:v>
      </x:c>
      <x:c r="D57" s="27" t="str">
        <x:v>AS-400</x:v>
      </x:c>
      <x:c r="E57" s="62" t="b">
        <x:v>1</x:v>
      </x:c>
      <x:c r="F57" s="27" t="n">
        <x:v>20</x:v>
      </x:c>
      <x:c r="G57" s="27" t="n">
        <x:v>80</x:v>
      </x:c>
      <x:c r="H57" s="27" t="n">
        <x:v>150</x:v>
      </x:c>
      <x:c r="I57" s="27" t="n">
        <x:v>15</x:v>
      </x:c>
      <x:c r="J57" s="27" t="str">
        <x:v>5 - 15 mm</x:v>
      </x:c>
      <x:c r="K57" s="27" t="n">
        <x:v>10</x:v>
      </x:c>
      <x:c r="L57" s="27" t="n">
        <x:v>700</x:v>
      </x:c>
      <x:c r="M57" s="27" t="str">
        <x:v>mesh</x:v>
      </x:c>
      <x:c r="N57" s="27" t="n">
        <x:v>30</x:v>
      </x:c>
      <x:c r="O57" s="27" t="n">
        <x:v>30</x:v>
      </x:c>
      <x:c r="P57" s="27"/>
      <x:c r="Q57" s="27"/>
      <x:c r="R57" s="27"/>
      <x:c r="S57" s="27"/>
      <x:c r="T57" s="27"/>
      <x:c r="U57" s="27"/>
      <x:c r="V57" s="27" t="str">
        <x:v>DTC-C-MayNghien-250426-demo4.pdf</x:v>
      </x:c>
      <x:c r="W57" s="48" t="str">
        <x:v>Đổi ký tự đầu của model từ B thành A.</x:v>
      </x:c>
    </x:row>
    <x:row r="58">
      <x:c r="A58" s="49" t="str">
        <x:v>BS_CRYOGENIC__AS-500</x:v>
      </x:c>
      <x:c r="B58" s="50" t="str">
        <x:f>IF(A58=C58&amp;"__"&amp;SUBSTITUTE(SUBSTITUTE(D58,"/","_")," ","_"),"OK","CHECK ID")</x:f>
        <x:v>OK</x:v>
      </x:c>
      <x:c r="C58" s="50" t="str">
        <x:v>BS_CRYOGENIC</x:v>
      </x:c>
      <x:c r="D58" s="50" t="str">
        <x:v>AS-500</x:v>
      </x:c>
      <x:c r="E58" s="63" t="b">
        <x:v>1</x:v>
      </x:c>
      <x:c r="F58" s="50" t="n">
        <x:v>20</x:v>
      </x:c>
      <x:c r="G58" s="50" t="n">
        <x:v>100</x:v>
      </x:c>
      <x:c r="H58" s="50" t="n">
        <x:v>150</x:v>
      </x:c>
      <x:c r="I58" s="50" t="n">
        <x:v>15</x:v>
      </x:c>
      <x:c r="J58" s="50" t="str">
        <x:v>5 - 15 mm</x:v>
      </x:c>
      <x:c r="K58" s="50" t="n">
        <x:v>10</x:v>
      </x:c>
      <x:c r="L58" s="50" t="n">
        <x:v>700</x:v>
      </x:c>
      <x:c r="M58" s="50" t="str">
        <x:v>mesh</x:v>
      </x:c>
      <x:c r="N58" s="50" t="n">
        <x:v>45</x:v>
      </x:c>
      <x:c r="O58" s="50" t="n">
        <x:v>45</x:v>
      </x:c>
      <x:c r="P58" s="50"/>
      <x:c r="Q58" s="50"/>
      <x:c r="R58" s="50"/>
      <x:c r="S58" s="50"/>
      <x:c r="T58" s="50"/>
      <x:c r="U58" s="50"/>
      <x:c r="V58" s="50" t="str">
        <x:v>DTC-C-MayNghien-250426-demo4.pdf</x:v>
      </x:c>
      <x:c r="W58" s="51" t="str">
        <x:v>Đổi ký tự đầu của model từ B thành A.</x:v>
      </x:c>
    </x:row>
  </x:sheetData>
  <x:conditionalFormatting sqref="B2:B158">
    <x:cfRule type="expression" dxfId="0" priority="1">
      <x:formula>B2="CHECK ID"</x:formula>
    </x:cfRule>
    <x:cfRule type="expression" dxfId="1" priority="2">
      <x:formula>B2="OK"</x:formula>
    </x:cfRule>
  </x:conditionalFormatting>
  <x:dataValidations count="3">
    <x:dataValidation type="list" sqref="C2:C158">
      <x:formula1>"BSC_COARSE,BS_SMALL_HAMMER,BSU_UNIVERSAL,BSG_UNIVERSAL_SYSTEM,BSP_ULTRAFINE,BSZ_PIN,BSF_BS_HAMMER,BSDF_MULTISTAGE,BS_ROLLER,BSK_JET,BS_CRYOGENIC"</x:formula1>
    </x:dataValidation>
    <x:dataValidation type="list" sqref="E2:E158">
      <x:formula1>"true,false"</x:formula1>
    </x:dataValidation>
    <x:dataValidation type="list" sqref="M2:M158">
      <x:formula1>"mm,mesh,µm"</x:formula1>
    </x:dataValidation>
  </x:dataValidations>
  <x:pageMargins left="0.7" right="0.7" top="0.75" bottom="0.75" header="0.3" footer="0.3"/>
  <x:tableParts count="1">
    <x:tablePart xmlns:r="http://schemas.openxmlformats.org/officeDocument/2006/relationships" r:id="R1dfa23334b9e45ab"/>
  </x:tableParts>
</x:worksheet>
</file>

<file path=xl/worksheets/sheet4.xml><?xml version="1.0" encoding="utf-8"?>
<x:worksheet xmlns:x="http://schemas.openxmlformats.org/spreadsheetml/2006/main">
  <x:sheetFormatPr defaultRowHeight="15"/>
  <x:cols>
    <x:col min="1" max="1" width="30" hidden="0" customWidth="1"/>
    <x:col min="2" max="2" width="24" hidden="0" customWidth="1"/>
    <x:col min="3" max="3" width="16" hidden="0" customWidth="1"/>
    <x:col min="4" max="4" width="38" hidden="0" customWidth="1"/>
    <x:col min="5" max="5" width="18" hidden="0" customWidth="1"/>
    <x:col min="6" max="6" width="32" hidden="0" customWidth="1"/>
    <x:col min="7" max="7" width="12" hidden="0" customWidth="1"/>
    <x:col min="8" max="8" width="14" hidden="0" customWidth="1"/>
    <x:col min="9" max="9" width="45" hidden="0" customWidth="1"/>
  </x:cols>
  <x:sheetData>
    <x:row r="1">
      <x:c r="A1" s="30" t="str">
        <x:v>machine_id</x:v>
      </x:c>
      <x:c r="B1" s="31" t="str">
        <x:v>series_code</x:v>
      </x:c>
      <x:c r="C1" s="31" t="str">
        <x:v>model</x:v>
      </x:c>
      <x:c r="D1" s="31" t="str">
        <x:v>spec_key</x:v>
      </x:c>
      <x:c r="E1" s="31" t="str">
        <x:v>spec_value_number</x:v>
      </x:c>
      <x:c r="F1" s="31" t="str">
        <x:v>spec_value_text</x:v>
      </x:c>
      <x:c r="G1" s="31" t="str">
        <x:v>unit</x:v>
      </x:c>
      <x:c r="H1" s="31" t="str">
        <x:v>source_pdf_page</x:v>
      </x:c>
      <x:c r="I1" s="32" t="str">
        <x:v>note</x:v>
      </x:c>
    </x:row>
    <x:row r="2">
      <x:c r="A2" s="47" t="str">
        <x:v>BS_SMALL_HAMMER__AS-180</x:v>
      </x:c>
      <x:c r="B2" s="27" t="str">
        <x:v>BS_SMALL_HAMMER</x:v>
      </x:c>
      <x:c r="C2" s="27" t="str">
        <x:v>AS-180</x:v>
      </x:c>
      <x:c r="D2" s="27" t="str">
        <x:v>chamber_diameter_mm</x:v>
      </x:c>
      <x:c r="E2" s="27" t="n">
        <x:v>200</x:v>
      </x:c>
      <x:c r="F2" s="27" t="str"/>
      <x:c r="G2" s="27" t="str">
        <x:v>mm</x:v>
      </x:c>
      <x:c r="H2" s="27" t="n">
        <x:v>6</x:v>
      </x:c>
      <x:c r="I2" s="48" t="str"/>
    </x:row>
    <x:row r="3">
      <x:c r="A3" s="47" t="str">
        <x:v>BS_SMALL_HAMMER__AS-250</x:v>
      </x:c>
      <x:c r="B3" s="27" t="str">
        <x:v>BS_SMALL_HAMMER</x:v>
      </x:c>
      <x:c r="C3" s="27" t="str">
        <x:v>AS-250</x:v>
      </x:c>
      <x:c r="D3" s="27" t="str">
        <x:v>chamber_diameter_mm</x:v>
      </x:c>
      <x:c r="E3" s="27" t="n">
        <x:v>270</x:v>
      </x:c>
      <x:c r="F3" s="27" t="str"/>
      <x:c r="G3" s="27" t="str">
        <x:v>mm</x:v>
      </x:c>
      <x:c r="H3" s="27" t="n">
        <x:v>6</x:v>
      </x:c>
      <x:c r="I3" s="48" t="str"/>
    </x:row>
    <x:row r="4">
      <x:c r="A4" s="47" t="str">
        <x:v>BS_SMALL_HAMMER__AS-350</x:v>
      </x:c>
      <x:c r="B4" s="27" t="str">
        <x:v>BS_SMALL_HAMMER</x:v>
      </x:c>
      <x:c r="C4" s="27" t="str">
        <x:v>AS-350</x:v>
      </x:c>
      <x:c r="D4" s="27" t="str">
        <x:v>chamber_diameter_mm</x:v>
      </x:c>
      <x:c r="E4" s="27" t="n">
        <x:v>380</x:v>
      </x:c>
      <x:c r="F4" s="27" t="str"/>
      <x:c r="G4" s="27" t="str">
        <x:v>mm</x:v>
      </x:c>
      <x:c r="H4" s="27" t="n">
        <x:v>6</x:v>
      </x:c>
      <x:c r="I4" s="48" t="str"/>
    </x:row>
    <x:row r="5">
      <x:c r="A5" s="47" t="str">
        <x:v>BSG_UNIVERSAL_SYSTEM__ASG-300</x:v>
      </x:c>
      <x:c r="B5" s="27" t="str">
        <x:v>BSG_UNIVERSAL_SYSTEM</x:v>
      </x:c>
      <x:c r="C5" s="27" t="str">
        <x:v>ASG-300</x:v>
      </x:c>
      <x:c r="D5" s="27" t="str">
        <x:v>blower_motor_kw</x:v>
      </x:c>
      <x:c r="E5" s="27" t="n">
        <x:v>3</x:v>
      </x:c>
      <x:c r="F5" s="27" t="str"/>
      <x:c r="G5" s="27" t="str">
        <x:v>kW</x:v>
      </x:c>
      <x:c r="H5" s="27" t="n">
        <x:v>8</x:v>
      </x:c>
      <x:c r="I5" s="48" t="str"/>
    </x:row>
    <x:row r="6">
      <x:c r="A6" s="47" t="str">
        <x:v>BSG_UNIVERSAL_SYSTEM__ASG-300</x:v>
      </x:c>
      <x:c r="B6" s="27" t="str">
        <x:v>BSG_UNIVERSAL_SYSTEM</x:v>
      </x:c>
      <x:c r="C6" s="27" t="str">
        <x:v>ASG-300</x:v>
      </x:c>
      <x:c r="D6" s="27" t="str">
        <x:v>discharge_motor_kw_min</x:v>
      </x:c>
      <x:c r="E6" s="27" t="n">
        <x:v>0.55</x:v>
      </x:c>
      <x:c r="F6" s="27" t="str"/>
      <x:c r="G6" s="27" t="str">
        <x:v>kW</x:v>
      </x:c>
      <x:c r="H6" s="27" t="n">
        <x:v>8</x:v>
      </x:c>
      <x:c r="I6" s="48" t="str"/>
    </x:row>
    <x:row r="7">
      <x:c r="A7" s="47" t="str">
        <x:v>BSG_UNIVERSAL_SYSTEM__ASG-300</x:v>
      </x:c>
      <x:c r="B7" s="27" t="str">
        <x:v>BSG_UNIVERSAL_SYSTEM</x:v>
      </x:c>
      <x:c r="C7" s="27" t="str">
        <x:v>ASG-300</x:v>
      </x:c>
      <x:c r="D7" s="27" t="str">
        <x:v>discharge_motor_kw_max</x:v>
      </x:c>
      <x:c r="E7" s="27" t="n">
        <x:v>0.75</x:v>
      </x:c>
      <x:c r="F7" s="27" t="str"/>
      <x:c r="G7" s="27" t="str">
        <x:v>kW</x:v>
      </x:c>
      <x:c r="H7" s="27" t="n">
        <x:v>8</x:v>
      </x:c>
      <x:c r="I7" s="48" t="str"/>
    </x:row>
    <x:row r="8">
      <x:c r="A8" s="47" t="str">
        <x:v>BSG_UNIVERSAL_SYSTEM__ASG-400</x:v>
      </x:c>
      <x:c r="B8" s="27" t="str">
        <x:v>BSG_UNIVERSAL_SYSTEM</x:v>
      </x:c>
      <x:c r="C8" s="27" t="str">
        <x:v>ASG-400</x:v>
      </x:c>
      <x:c r="D8" s="27" t="str">
        <x:v>blower_motor_kw</x:v>
      </x:c>
      <x:c r="E8" s="27" t="n">
        <x:v>3</x:v>
      </x:c>
      <x:c r="F8" s="27" t="str"/>
      <x:c r="G8" s="27" t="str">
        <x:v>kW</x:v>
      </x:c>
      <x:c r="H8" s="27" t="n">
        <x:v>8</x:v>
      </x:c>
      <x:c r="I8" s="48" t="str"/>
    </x:row>
    <x:row r="9">
      <x:c r="A9" s="47" t="str">
        <x:v>BSG_UNIVERSAL_SYSTEM__ASG-400</x:v>
      </x:c>
      <x:c r="B9" s="27" t="str">
        <x:v>BSG_UNIVERSAL_SYSTEM</x:v>
      </x:c>
      <x:c r="C9" s="27" t="str">
        <x:v>ASG-400</x:v>
      </x:c>
      <x:c r="D9" s="27" t="str">
        <x:v>discharge_motor_kw_min</x:v>
      </x:c>
      <x:c r="E9" s="27" t="n">
        <x:v>0.75</x:v>
      </x:c>
      <x:c r="F9" s="27" t="str"/>
      <x:c r="G9" s="27" t="str">
        <x:v>kW</x:v>
      </x:c>
      <x:c r="H9" s="27" t="n">
        <x:v>8</x:v>
      </x:c>
      <x:c r="I9" s="48" t="str"/>
    </x:row>
    <x:row r="10">
      <x:c r="A10" s="47" t="str">
        <x:v>BSG_UNIVERSAL_SYSTEM__ASG-400</x:v>
      </x:c>
      <x:c r="B10" s="27" t="str">
        <x:v>BSG_UNIVERSAL_SYSTEM</x:v>
      </x:c>
      <x:c r="C10" s="27" t="str">
        <x:v>ASG-400</x:v>
      </x:c>
      <x:c r="D10" s="27" t="str">
        <x:v>discharge_motor_kw_max</x:v>
      </x:c>
      <x:c r="E10" s="27" t="n">
        <x:v>0.75</x:v>
      </x:c>
      <x:c r="F10" s="27" t="str"/>
      <x:c r="G10" s="27" t="str">
        <x:v>kW</x:v>
      </x:c>
      <x:c r="H10" s="27" t="n">
        <x:v>8</x:v>
      </x:c>
      <x:c r="I10" s="48" t="str"/>
    </x:row>
    <x:row r="11">
      <x:c r="A11" s="47" t="str">
        <x:v>BSG_UNIVERSAL_SYSTEM__ASG-500</x:v>
      </x:c>
      <x:c r="B11" s="27" t="str">
        <x:v>BSG_UNIVERSAL_SYSTEM</x:v>
      </x:c>
      <x:c r="C11" s="27" t="str">
        <x:v>ASG-500</x:v>
      </x:c>
      <x:c r="D11" s="27" t="str">
        <x:v>blower_motor_kw</x:v>
      </x:c>
      <x:c r="E11" s="27" t="n">
        <x:v>5.5</x:v>
      </x:c>
      <x:c r="F11" s="27" t="str"/>
      <x:c r="G11" s="27" t="str">
        <x:v>kW</x:v>
      </x:c>
      <x:c r="H11" s="27" t="n">
        <x:v>8</x:v>
      </x:c>
      <x:c r="I11" s="48" t="str"/>
    </x:row>
    <x:row r="12">
      <x:c r="A12" s="47" t="str">
        <x:v>BSG_UNIVERSAL_SYSTEM__ASG-500</x:v>
      </x:c>
      <x:c r="B12" s="27" t="str">
        <x:v>BSG_UNIVERSAL_SYSTEM</x:v>
      </x:c>
      <x:c r="C12" s="27" t="str">
        <x:v>ASG-500</x:v>
      </x:c>
      <x:c r="D12" s="27" t="str">
        <x:v>discharge_motor_kw_min</x:v>
      </x:c>
      <x:c r="E12" s="27" t="n">
        <x:v>0.75</x:v>
      </x:c>
      <x:c r="F12" s="27" t="str"/>
      <x:c r="G12" s="27" t="str">
        <x:v>kW</x:v>
      </x:c>
      <x:c r="H12" s="27" t="n">
        <x:v>8</x:v>
      </x:c>
      <x:c r="I12" s="48" t="str"/>
    </x:row>
    <x:row r="13">
      <x:c r="A13" s="47" t="str">
        <x:v>BSG_UNIVERSAL_SYSTEM__ASG-500</x:v>
      </x:c>
      <x:c r="B13" s="27" t="str">
        <x:v>BSG_UNIVERSAL_SYSTEM</x:v>
      </x:c>
      <x:c r="C13" s="27" t="str">
        <x:v>ASG-500</x:v>
      </x:c>
      <x:c r="D13" s="27" t="str">
        <x:v>discharge_motor_kw_max</x:v>
      </x:c>
      <x:c r="E13" s="27" t="n">
        <x:v>0.75</x:v>
      </x:c>
      <x:c r="F13" s="27" t="str"/>
      <x:c r="G13" s="27" t="str">
        <x:v>kW</x:v>
      </x:c>
      <x:c r="H13" s="27" t="n">
        <x:v>8</x:v>
      </x:c>
      <x:c r="I13" s="48" t="str"/>
    </x:row>
    <x:row r="14">
      <x:c r="A14" s="47" t="str">
        <x:v>BSG_UNIVERSAL_SYSTEM__ASG-600</x:v>
      </x:c>
      <x:c r="B14" s="27" t="str">
        <x:v>BSG_UNIVERSAL_SYSTEM</x:v>
      </x:c>
      <x:c r="C14" s="27" t="str">
        <x:v>ASG-600</x:v>
      </x:c>
      <x:c r="D14" s="27" t="str">
        <x:v>blower_motor_kw</x:v>
      </x:c>
      <x:c r="E14" s="27" t="n">
        <x:v>11</x:v>
      </x:c>
      <x:c r="F14" s="27" t="str"/>
      <x:c r="G14" s="27" t="str">
        <x:v>kW</x:v>
      </x:c>
      <x:c r="H14" s="27" t="n">
        <x:v>8</x:v>
      </x:c>
      <x:c r="I14" s="48" t="str"/>
    </x:row>
    <x:row r="15">
      <x:c r="A15" s="47" t="str">
        <x:v>BSG_UNIVERSAL_SYSTEM__ASG-600</x:v>
      </x:c>
      <x:c r="B15" s="27" t="str">
        <x:v>BSG_UNIVERSAL_SYSTEM</x:v>
      </x:c>
      <x:c r="C15" s="27" t="str">
        <x:v>ASG-600</x:v>
      </x:c>
      <x:c r="D15" s="27" t="str">
        <x:v>discharge_motor_kw_min</x:v>
      </x:c>
      <x:c r="E15" s="27" t="n">
        <x:v>0.75</x:v>
      </x:c>
      <x:c r="F15" s="27" t="str"/>
      <x:c r="G15" s="27" t="str">
        <x:v>kW</x:v>
      </x:c>
      <x:c r="H15" s="27" t="n">
        <x:v>8</x:v>
      </x:c>
      <x:c r="I15" s="48" t="str"/>
    </x:row>
    <x:row r="16">
      <x:c r="A16" s="47" t="str">
        <x:v>BSG_UNIVERSAL_SYSTEM__ASG-600</x:v>
      </x:c>
      <x:c r="B16" s="27" t="str">
        <x:v>BSG_UNIVERSAL_SYSTEM</x:v>
      </x:c>
      <x:c r="C16" s="27" t="str">
        <x:v>ASG-600</x:v>
      </x:c>
      <x:c r="D16" s="27" t="str">
        <x:v>discharge_motor_kw_max</x:v>
      </x:c>
      <x:c r="E16" s="27" t="n">
        <x:v>1.1</x:v>
      </x:c>
      <x:c r="F16" s="27" t="str"/>
      <x:c r="G16" s="27" t="str">
        <x:v>kW</x:v>
      </x:c>
      <x:c r="H16" s="27" t="n">
        <x:v>8</x:v>
      </x:c>
      <x:c r="I16" s="48" t="str"/>
    </x:row>
    <x:row r="17">
      <x:c r="A17" s="47" t="str">
        <x:v>BSG_UNIVERSAL_SYSTEM__ASG-850</x:v>
      </x:c>
      <x:c r="B17" s="27" t="str">
        <x:v>BSG_UNIVERSAL_SYSTEM</x:v>
      </x:c>
      <x:c r="C17" s="27" t="str">
        <x:v>ASG-850</x:v>
      </x:c>
      <x:c r="D17" s="27" t="str">
        <x:v>blower_motor_kw</x:v>
      </x:c>
      <x:c r="E17" s="27" t="n">
        <x:v>18.5</x:v>
      </x:c>
      <x:c r="F17" s="27" t="str"/>
      <x:c r="G17" s="27" t="str">
        <x:v>kW</x:v>
      </x:c>
      <x:c r="H17" s="27" t="n">
        <x:v>8</x:v>
      </x:c>
      <x:c r="I17" s="48" t="str"/>
    </x:row>
    <x:row r="18">
      <x:c r="A18" s="47" t="str">
        <x:v>BSG_UNIVERSAL_SYSTEM__ASG-850</x:v>
      </x:c>
      <x:c r="B18" s="27" t="str">
        <x:v>BSG_UNIVERSAL_SYSTEM</x:v>
      </x:c>
      <x:c r="C18" s="27" t="str">
        <x:v>ASG-850</x:v>
      </x:c>
      <x:c r="D18" s="27" t="str">
        <x:v>discharge_motor_kw_min</x:v>
      </x:c>
      <x:c r="E18" s="27" t="n">
        <x:v>1.1</x:v>
      </x:c>
      <x:c r="F18" s="27" t="str"/>
      <x:c r="G18" s="27" t="str">
        <x:v>kW</x:v>
      </x:c>
      <x:c r="H18" s="27" t="n">
        <x:v>8</x:v>
      </x:c>
      <x:c r="I18" s="48" t="str"/>
    </x:row>
    <x:row r="19">
      <x:c r="A19" s="47" t="str">
        <x:v>BSG_UNIVERSAL_SYSTEM__ASG-850</x:v>
      </x:c>
      <x:c r="B19" s="27" t="str">
        <x:v>BSG_UNIVERSAL_SYSTEM</x:v>
      </x:c>
      <x:c r="C19" s="27" t="str">
        <x:v>ASG-850</x:v>
      </x:c>
      <x:c r="D19" s="27" t="str">
        <x:v>discharge_motor_kw_max</x:v>
      </x:c>
      <x:c r="E19" s="27" t="n">
        <x:v>1.5</x:v>
      </x:c>
      <x:c r="F19" s="27" t="str"/>
      <x:c r="G19" s="27" t="str">
        <x:v>kW</x:v>
      </x:c>
      <x:c r="H19" s="27" t="n">
        <x:v>8</x:v>
      </x:c>
      <x:c r="I19" s="48" t="str"/>
    </x:row>
    <x:row r="20">
      <x:c r="A20" s="47" t="str">
        <x:v>BSG_UNIVERSAL_SYSTEM__ASG-1000</x:v>
      </x:c>
      <x:c r="B20" s="27" t="str">
        <x:v>BSG_UNIVERSAL_SYSTEM</x:v>
      </x:c>
      <x:c r="C20" s="27" t="str">
        <x:v>ASG-1000</x:v>
      </x:c>
      <x:c r="D20" s="27" t="str">
        <x:v>blower_motor_kw</x:v>
      </x:c>
      <x:c r="E20" s="27" t="n">
        <x:v>18.5</x:v>
      </x:c>
      <x:c r="F20" s="27" t="str"/>
      <x:c r="G20" s="27" t="str">
        <x:v>kW</x:v>
      </x:c>
      <x:c r="H20" s="27" t="n">
        <x:v>8</x:v>
      </x:c>
      <x:c r="I20" s="48" t="str"/>
    </x:row>
    <x:row r="21">
      <x:c r="A21" s="47" t="str">
        <x:v>BSG_UNIVERSAL_SYSTEM__ASG-1000</x:v>
      </x:c>
      <x:c r="B21" s="27" t="str">
        <x:v>BSG_UNIVERSAL_SYSTEM</x:v>
      </x:c>
      <x:c r="C21" s="27" t="str">
        <x:v>ASG-1000</x:v>
      </x:c>
      <x:c r="D21" s="27" t="str">
        <x:v>discharge_motor_kw_min</x:v>
      </x:c>
      <x:c r="E21" s="27" t="n">
        <x:v>1.1</x:v>
      </x:c>
      <x:c r="F21" s="27" t="str"/>
      <x:c r="G21" s="27" t="str">
        <x:v>kW</x:v>
      </x:c>
      <x:c r="H21" s="27" t="n">
        <x:v>8</x:v>
      </x:c>
      <x:c r="I21" s="48" t="str"/>
    </x:row>
    <x:row r="22">
      <x:c r="A22" s="47" t="str">
        <x:v>BSG_UNIVERSAL_SYSTEM__ASG-1000</x:v>
      </x:c>
      <x:c r="B22" s="27" t="str">
        <x:v>BSG_UNIVERSAL_SYSTEM</x:v>
      </x:c>
      <x:c r="C22" s="27" t="str">
        <x:v>ASG-1000</x:v>
      </x:c>
      <x:c r="D22" s="27" t="str">
        <x:v>discharge_motor_kw_max</x:v>
      </x:c>
      <x:c r="E22" s="27" t="n">
        <x:v>1.1</x:v>
      </x:c>
      <x:c r="F22" s="27" t="str"/>
      <x:c r="G22" s="27" t="str">
        <x:v>kW</x:v>
      </x:c>
      <x:c r="H22" s="27" t="n">
        <x:v>8</x:v>
      </x:c>
      <x:c r="I22" s="48" t="str"/>
    </x:row>
    <x:row r="23">
      <x:c r="A23" s="47" t="str">
        <x:v>BSP_ULTRAFINE__ASP-250</x:v>
      </x:c>
      <x:c r="B23" s="27" t="str">
        <x:v>BSP_ULTRAFINE</x:v>
      </x:c>
      <x:c r="C23" s="27" t="str">
        <x:v>ASP-250</x:v>
      </x:c>
      <x:c r="D23" s="27" t="str">
        <x:v>classifier_motor_kw</x:v>
      </x:c>
      <x:c r="E23" s="27" t="n">
        <x:v>1.5</x:v>
      </x:c>
      <x:c r="F23" s="27" t="str"/>
      <x:c r="G23" s="27" t="str">
        <x:v>kW</x:v>
      </x:c>
      <x:c r="H23" s="27" t="n">
        <x:v>11</x:v>
      </x:c>
      <x:c r="I23" s="48" t="str"/>
    </x:row>
    <x:row r="24">
      <x:c r="A24" s="47" t="str">
        <x:v>BSP_ULTRAFINE__ASP-250</x:v>
      </x:c>
      <x:c r="B24" s="27" t="str">
        <x:v>BSP_ULTRAFINE</x:v>
      </x:c>
      <x:c r="C24" s="27" t="str">
        <x:v>ASP-250</x:v>
      </x:c>
      <x:c r="D24" s="27" t="str">
        <x:v>blower_motor_kw</x:v>
      </x:c>
      <x:c r="E24" s="27" t="n">
        <x:v>4</x:v>
      </x:c>
      <x:c r="F24" s="27" t="str"/>
      <x:c r="G24" s="27" t="str">
        <x:v>kW</x:v>
      </x:c>
      <x:c r="H24" s="27" t="n">
        <x:v>11</x:v>
      </x:c>
      <x:c r="I24" s="48" t="str"/>
    </x:row>
    <x:row r="25">
      <x:c r="A25" s="47" t="str">
        <x:v>BSP_ULTRAFINE__ASP-250</x:v>
      </x:c>
      <x:c r="B25" s="27" t="str">
        <x:v>BSP_ULTRAFINE</x:v>
      </x:c>
      <x:c r="C25" s="27" t="str">
        <x:v>ASP-250</x:v>
      </x:c>
      <x:c r="D25" s="27" t="str">
        <x:v>feed_motor_kw</x:v>
      </x:c>
      <x:c r="E25" s="27" t="n">
        <x:v>0.37</x:v>
      </x:c>
      <x:c r="F25" s="27" t="str"/>
      <x:c r="G25" s="27" t="str">
        <x:v>kW</x:v>
      </x:c>
      <x:c r="H25" s="27" t="n">
        <x:v>11</x:v>
      </x:c>
      <x:c r="I25" s="48" t="str"/>
    </x:row>
    <x:row r="26">
      <x:c r="A26" s="47" t="str">
        <x:v>BSP_ULTRAFINE__ASP-250</x:v>
      </x:c>
      <x:c r="B26" s="27" t="str">
        <x:v>BSP_ULTRAFINE</x:v>
      </x:c>
      <x:c r="C26" s="27" t="str">
        <x:v>ASP-250</x:v>
      </x:c>
      <x:c r="D26" s="27" t="str">
        <x:v>discharge_motor_kw</x:v>
      </x:c>
      <x:c r="E26" s="27" t="n">
        <x:v>0.75</x:v>
      </x:c>
      <x:c r="F26" s="27" t="str"/>
      <x:c r="G26" s="27" t="str">
        <x:v>kW</x:v>
      </x:c>
      <x:c r="H26" s="27" t="n">
        <x:v>11</x:v>
      </x:c>
      <x:c r="I26" s="48" t="str"/>
    </x:row>
    <x:row r="27">
      <x:c r="A27" s="47" t="str">
        <x:v>BSP_ULTRAFINE__ASP-250</x:v>
      </x:c>
      <x:c r="B27" s="27" t="str">
        <x:v>BSP_ULTRAFINE</x:v>
      </x:c>
      <x:c r="C27" s="27" t="str">
        <x:v>ASP-250</x:v>
      </x:c>
      <x:c r="D27" s="27" t="str">
        <x:v>classifier_speed_rpm</x:v>
      </x:c>
      <x:c r="E27" s="27" t="n">
        <x:v>4000</x:v>
      </x:c>
      <x:c r="F27" s="27" t="str"/>
      <x:c r="G27" s="27" t="str">
        <x:v>rpm</x:v>
      </x:c>
      <x:c r="H27" s="27" t="n">
        <x:v>11</x:v>
      </x:c>
      <x:c r="I27" s="48" t="str"/>
    </x:row>
    <x:row r="28">
      <x:c r="A28" s="47" t="str">
        <x:v>BSP_ULTRAFINE__ASP-350</x:v>
      </x:c>
      <x:c r="B28" s="27" t="str">
        <x:v>BSP_ULTRAFINE</x:v>
      </x:c>
      <x:c r="C28" s="27" t="str">
        <x:v>ASP-350</x:v>
      </x:c>
      <x:c r="D28" s="27" t="str">
        <x:v>classifier_motor_kw</x:v>
      </x:c>
      <x:c r="E28" s="27" t="n">
        <x:v>1.5</x:v>
      </x:c>
      <x:c r="F28" s="27" t="str"/>
      <x:c r="G28" s="27" t="str">
        <x:v>kW</x:v>
      </x:c>
      <x:c r="H28" s="27" t="n">
        <x:v>11</x:v>
      </x:c>
      <x:c r="I28" s="48" t="str"/>
    </x:row>
    <x:row r="29">
      <x:c r="A29" s="47" t="str">
        <x:v>BSP_ULTRAFINE__ASP-350</x:v>
      </x:c>
      <x:c r="B29" s="27" t="str">
        <x:v>BSP_ULTRAFINE</x:v>
      </x:c>
      <x:c r="C29" s="27" t="str">
        <x:v>ASP-350</x:v>
      </x:c>
      <x:c r="D29" s="27" t="str">
        <x:v>blower_motor_kw</x:v>
      </x:c>
      <x:c r="E29" s="27" t="n">
        <x:v>5.5</x:v>
      </x:c>
      <x:c r="F29" s="27" t="str"/>
      <x:c r="G29" s="27" t="str">
        <x:v>kW</x:v>
      </x:c>
      <x:c r="H29" s="27" t="n">
        <x:v>11</x:v>
      </x:c>
      <x:c r="I29" s="48" t="str"/>
    </x:row>
    <x:row r="30">
      <x:c r="A30" s="47" t="str">
        <x:v>BSP_ULTRAFINE__ASP-350</x:v>
      </x:c>
      <x:c r="B30" s="27" t="str">
        <x:v>BSP_ULTRAFINE</x:v>
      </x:c>
      <x:c r="C30" s="27" t="str">
        <x:v>ASP-350</x:v>
      </x:c>
      <x:c r="D30" s="27" t="str">
        <x:v>feed_motor_kw</x:v>
      </x:c>
      <x:c r="E30" s="27" t="n">
        <x:v>0.55</x:v>
      </x:c>
      <x:c r="F30" s="27" t="str"/>
      <x:c r="G30" s="27" t="str">
        <x:v>kW</x:v>
      </x:c>
      <x:c r="H30" s="27" t="n">
        <x:v>11</x:v>
      </x:c>
      <x:c r="I30" s="48" t="str"/>
    </x:row>
    <x:row r="31">
      <x:c r="A31" s="47" t="str">
        <x:v>BSP_ULTRAFINE__ASP-350</x:v>
      </x:c>
      <x:c r="B31" s="27" t="str">
        <x:v>BSP_ULTRAFINE</x:v>
      </x:c>
      <x:c r="C31" s="27" t="str">
        <x:v>ASP-350</x:v>
      </x:c>
      <x:c r="D31" s="27" t="str">
        <x:v>discharge_motor_kw</x:v>
      </x:c>
      <x:c r="E31" s="27" t="n">
        <x:v>0.75</x:v>
      </x:c>
      <x:c r="F31" s="27" t="str"/>
      <x:c r="G31" s="27" t="str">
        <x:v>kW</x:v>
      </x:c>
      <x:c r="H31" s="27" t="n">
        <x:v>11</x:v>
      </x:c>
      <x:c r="I31" s="48" t="str"/>
    </x:row>
    <x:row r="32">
      <x:c r="A32" s="47" t="str">
        <x:v>BSP_ULTRAFINE__ASP-350</x:v>
      </x:c>
      <x:c r="B32" s="27" t="str">
        <x:v>BSP_ULTRAFINE</x:v>
      </x:c>
      <x:c r="C32" s="27" t="str">
        <x:v>ASP-350</x:v>
      </x:c>
      <x:c r="D32" s="27" t="str">
        <x:v>classifier_speed_rpm</x:v>
      </x:c>
      <x:c r="E32" s="27" t="n">
        <x:v>4000</x:v>
      </x:c>
      <x:c r="F32" s="27" t="str"/>
      <x:c r="G32" s="27" t="str">
        <x:v>rpm</x:v>
      </x:c>
      <x:c r="H32" s="27" t="n">
        <x:v>11</x:v>
      </x:c>
      <x:c r="I32" s="48" t="str"/>
    </x:row>
    <x:row r="33">
      <x:c r="A33" s="47" t="str">
        <x:v>BSP_ULTRAFINE__ASP-450</x:v>
      </x:c>
      <x:c r="B33" s="27" t="str">
        <x:v>BSP_ULTRAFINE</x:v>
      </x:c>
      <x:c r="C33" s="27" t="str">
        <x:v>ASP-450</x:v>
      </x:c>
      <x:c r="D33" s="27" t="str">
        <x:v>classifier_motor_kw</x:v>
      </x:c>
      <x:c r="E33" s="27" t="n">
        <x:v>4</x:v>
      </x:c>
      <x:c r="F33" s="27" t="str"/>
      <x:c r="G33" s="27" t="str">
        <x:v>kW</x:v>
      </x:c>
      <x:c r="H33" s="27" t="n">
        <x:v>11</x:v>
      </x:c>
      <x:c r="I33" s="48" t="str"/>
    </x:row>
    <x:row r="34">
      <x:c r="A34" s="47" t="str">
        <x:v>BSP_ULTRAFINE__ASP-450</x:v>
      </x:c>
      <x:c r="B34" s="27" t="str">
        <x:v>BSP_ULTRAFINE</x:v>
      </x:c>
      <x:c r="C34" s="27" t="str">
        <x:v>ASP-450</x:v>
      </x:c>
      <x:c r="D34" s="27" t="str">
        <x:v>blower_motor_kw</x:v>
      </x:c>
      <x:c r="E34" s="27" t="n">
        <x:v>11</x:v>
      </x:c>
      <x:c r="F34" s="27" t="str"/>
      <x:c r="G34" s="27" t="str">
        <x:v>kW</x:v>
      </x:c>
      <x:c r="H34" s="27" t="n">
        <x:v>11</x:v>
      </x:c>
      <x:c r="I34" s="48" t="str"/>
    </x:row>
    <x:row r="35">
      <x:c r="A35" s="47" t="str">
        <x:v>BSP_ULTRAFINE__ASP-450</x:v>
      </x:c>
      <x:c r="B35" s="27" t="str">
        <x:v>BSP_ULTRAFINE</x:v>
      </x:c>
      <x:c r="C35" s="27" t="str">
        <x:v>ASP-450</x:v>
      </x:c>
      <x:c r="D35" s="27" t="str">
        <x:v>feed_motor_kw</x:v>
      </x:c>
      <x:c r="E35" s="27" t="n">
        <x:v>0.55</x:v>
      </x:c>
      <x:c r="F35" s="27" t="str"/>
      <x:c r="G35" s="27" t="str">
        <x:v>kW</x:v>
      </x:c>
      <x:c r="H35" s="27" t="n">
        <x:v>11</x:v>
      </x:c>
      <x:c r="I35" s="48" t="str"/>
    </x:row>
    <x:row r="36">
      <x:c r="A36" s="47" t="str">
        <x:v>BSP_ULTRAFINE__ASP-450</x:v>
      </x:c>
      <x:c r="B36" s="27" t="str">
        <x:v>BSP_ULTRAFINE</x:v>
      </x:c>
      <x:c r="C36" s="27" t="str">
        <x:v>ASP-450</x:v>
      </x:c>
      <x:c r="D36" s="27" t="str">
        <x:v>discharge_motor_kw</x:v>
      </x:c>
      <x:c r="E36" s="27" t="n">
        <x:v>0.75</x:v>
      </x:c>
      <x:c r="F36" s="27" t="str"/>
      <x:c r="G36" s="27" t="str">
        <x:v>kW</x:v>
      </x:c>
      <x:c r="H36" s="27" t="n">
        <x:v>11</x:v>
      </x:c>
      <x:c r="I36" s="48" t="str"/>
    </x:row>
    <x:row r="37">
      <x:c r="A37" s="47" t="str">
        <x:v>BSP_ULTRAFINE__ASP-450</x:v>
      </x:c>
      <x:c r="B37" s="27" t="str">
        <x:v>BSP_ULTRAFINE</x:v>
      </x:c>
      <x:c r="C37" s="27" t="str">
        <x:v>ASP-450</x:v>
      </x:c>
      <x:c r="D37" s="27" t="str">
        <x:v>classifier_speed_rpm</x:v>
      </x:c>
      <x:c r="E37" s="27" t="n">
        <x:v>4000</x:v>
      </x:c>
      <x:c r="F37" s="27" t="str"/>
      <x:c r="G37" s="27" t="str">
        <x:v>rpm</x:v>
      </x:c>
      <x:c r="H37" s="27" t="n">
        <x:v>11</x:v>
      </x:c>
      <x:c r="I37" s="48" t="str"/>
    </x:row>
    <x:row r="38">
      <x:c r="A38" s="47" t="str">
        <x:v>BSP_ULTRAFINE__ASP-500</x:v>
      </x:c>
      <x:c r="B38" s="27" t="str">
        <x:v>BSP_ULTRAFINE</x:v>
      </x:c>
      <x:c r="C38" s="27" t="str">
        <x:v>ASP-500</x:v>
      </x:c>
      <x:c r="D38" s="27" t="str">
        <x:v>classifier_motor_kw</x:v>
      </x:c>
      <x:c r="E38" s="27" t="n">
        <x:v>5.5</x:v>
      </x:c>
      <x:c r="F38" s="27" t="str"/>
      <x:c r="G38" s="27" t="str">
        <x:v>kW</x:v>
      </x:c>
      <x:c r="H38" s="27" t="n">
        <x:v>11</x:v>
      </x:c>
      <x:c r="I38" s="48" t="str"/>
    </x:row>
    <x:row r="39">
      <x:c r="A39" s="47" t="str">
        <x:v>BSP_ULTRAFINE__ASP-500</x:v>
      </x:c>
      <x:c r="B39" s="27" t="str">
        <x:v>BSP_ULTRAFINE</x:v>
      </x:c>
      <x:c r="C39" s="27" t="str">
        <x:v>ASP-500</x:v>
      </x:c>
      <x:c r="D39" s="27" t="str">
        <x:v>blower_motor_kw</x:v>
      </x:c>
      <x:c r="E39" s="27" t="n">
        <x:v>18.5</x:v>
      </x:c>
      <x:c r="F39" s="27" t="str"/>
      <x:c r="G39" s="27" t="str">
        <x:v>kW</x:v>
      </x:c>
      <x:c r="H39" s="27" t="n">
        <x:v>11</x:v>
      </x:c>
      <x:c r="I39" s="48" t="str"/>
    </x:row>
    <x:row r="40">
      <x:c r="A40" s="47" t="str">
        <x:v>BSP_ULTRAFINE__ASP-500</x:v>
      </x:c>
      <x:c r="B40" s="27" t="str">
        <x:v>BSP_ULTRAFINE</x:v>
      </x:c>
      <x:c r="C40" s="27" t="str">
        <x:v>ASP-500</x:v>
      </x:c>
      <x:c r="D40" s="27" t="str">
        <x:v>feed_motor_kw</x:v>
      </x:c>
      <x:c r="E40" s="27" t="n">
        <x:v>0.75</x:v>
      </x:c>
      <x:c r="F40" s="27" t="str"/>
      <x:c r="G40" s="27" t="str">
        <x:v>kW</x:v>
      </x:c>
      <x:c r="H40" s="27" t="n">
        <x:v>11</x:v>
      </x:c>
      <x:c r="I40" s="48" t="str"/>
    </x:row>
    <x:row r="41">
      <x:c r="A41" s="47" t="str">
        <x:v>BSP_ULTRAFINE__ASP-500</x:v>
      </x:c>
      <x:c r="B41" s="27" t="str">
        <x:v>BSP_ULTRAFINE</x:v>
      </x:c>
      <x:c r="C41" s="27" t="str">
        <x:v>ASP-500</x:v>
      </x:c>
      <x:c r="D41" s="27" t="str">
        <x:v>discharge_motor_kw</x:v>
      </x:c>
      <x:c r="E41" s="27" t="n">
        <x:v>1.1</x:v>
      </x:c>
      <x:c r="F41" s="27" t="str"/>
      <x:c r="G41" s="27" t="str">
        <x:v>kW</x:v>
      </x:c>
      <x:c r="H41" s="27" t="n">
        <x:v>11</x:v>
      </x:c>
      <x:c r="I41" s="48" t="str"/>
    </x:row>
    <x:row r="42">
      <x:c r="A42" s="47" t="str">
        <x:v>BSP_ULTRAFINE__ASP-500</x:v>
      </x:c>
      <x:c r="B42" s="27" t="str">
        <x:v>BSP_ULTRAFINE</x:v>
      </x:c>
      <x:c r="C42" s="27" t="str">
        <x:v>ASP-500</x:v>
      </x:c>
      <x:c r="D42" s="27" t="str">
        <x:v>classifier_speed_rpm</x:v>
      </x:c>
      <x:c r="E42" s="27" t="n">
        <x:v>3500</x:v>
      </x:c>
      <x:c r="F42" s="27" t="str"/>
      <x:c r="G42" s="27" t="str">
        <x:v>rpm</x:v>
      </x:c>
      <x:c r="H42" s="27" t="n">
        <x:v>11</x:v>
      </x:c>
      <x:c r="I42" s="48" t="str"/>
    </x:row>
    <x:row r="43">
      <x:c r="A43" s="47" t="str">
        <x:v>BSP_ULTRAFINE__ASP-750</x:v>
      </x:c>
      <x:c r="B43" s="27" t="str">
        <x:v>BSP_ULTRAFINE</x:v>
      </x:c>
      <x:c r="C43" s="27" t="str">
        <x:v>ASP-750</x:v>
      </x:c>
      <x:c r="D43" s="27" t="str">
        <x:v>classifier_motor_kw</x:v>
      </x:c>
      <x:c r="E43" s="27" t="n">
        <x:v>11</x:v>
      </x:c>
      <x:c r="F43" s="27" t="str"/>
      <x:c r="G43" s="27" t="str">
        <x:v>kW</x:v>
      </x:c>
      <x:c r="H43" s="27" t="n">
        <x:v>11</x:v>
      </x:c>
      <x:c r="I43" s="48" t="str"/>
    </x:row>
    <x:row r="44">
      <x:c r="A44" s="47" t="str">
        <x:v>BSP_ULTRAFINE__ASP-750</x:v>
      </x:c>
      <x:c r="B44" s="27" t="str">
        <x:v>BSP_ULTRAFINE</x:v>
      </x:c>
      <x:c r="C44" s="27" t="str">
        <x:v>ASP-750</x:v>
      </x:c>
      <x:c r="D44" s="27" t="str">
        <x:v>blower_motor_kw</x:v>
      </x:c>
      <x:c r="E44" s="27" t="n">
        <x:v>37</x:v>
      </x:c>
      <x:c r="F44" s="27" t="str"/>
      <x:c r="G44" s="27" t="str">
        <x:v>kW</x:v>
      </x:c>
      <x:c r="H44" s="27" t="n">
        <x:v>11</x:v>
      </x:c>
      <x:c r="I44" s="48" t="str"/>
    </x:row>
    <x:row r="45">
      <x:c r="A45" s="47" t="str">
        <x:v>BSP_ULTRAFINE__ASP-750</x:v>
      </x:c>
      <x:c r="B45" s="27" t="str">
        <x:v>BSP_ULTRAFINE</x:v>
      </x:c>
      <x:c r="C45" s="27" t="str">
        <x:v>ASP-750</x:v>
      </x:c>
      <x:c r="D45" s="27" t="str">
        <x:v>feed_motor_kw</x:v>
      </x:c>
      <x:c r="E45" s="27" t="n">
        <x:v>1.5</x:v>
      </x:c>
      <x:c r="F45" s="27" t="str"/>
      <x:c r="G45" s="27" t="str">
        <x:v>kW</x:v>
      </x:c>
      <x:c r="H45" s="27" t="n">
        <x:v>11</x:v>
      </x:c>
      <x:c r="I45" s="48" t="str"/>
    </x:row>
    <x:row r="46">
      <x:c r="A46" s="47" t="str">
        <x:v>BSP_ULTRAFINE__ASP-750</x:v>
      </x:c>
      <x:c r="B46" s="27" t="str">
        <x:v>BSP_ULTRAFINE</x:v>
      </x:c>
      <x:c r="C46" s="27" t="str">
        <x:v>ASP-750</x:v>
      </x:c>
      <x:c r="D46" s="27" t="str">
        <x:v>discharge_motor_kw</x:v>
      </x:c>
      <x:c r="E46" s="27" t="n">
        <x:v>1.5</x:v>
      </x:c>
      <x:c r="F46" s="27" t="str"/>
      <x:c r="G46" s="27" t="str">
        <x:v>kW</x:v>
      </x:c>
      <x:c r="H46" s="27" t="n">
        <x:v>11</x:v>
      </x:c>
      <x:c r="I46" s="48" t="str"/>
    </x:row>
    <x:row r="47">
      <x:c r="A47" s="47" t="str">
        <x:v>BSP_ULTRAFINE__ASP-750</x:v>
      </x:c>
      <x:c r="B47" s="27" t="str">
        <x:v>BSP_ULTRAFINE</x:v>
      </x:c>
      <x:c r="C47" s="27" t="str">
        <x:v>ASP-750</x:v>
      </x:c>
      <x:c r="D47" s="27" t="str">
        <x:v>classifier_speed_rpm</x:v>
      </x:c>
      <x:c r="E47" s="27" t="n">
        <x:v>3000</x:v>
      </x:c>
      <x:c r="F47" s="27" t="str"/>
      <x:c r="G47" s="27" t="str">
        <x:v>rpm</x:v>
      </x:c>
      <x:c r="H47" s="27" t="n">
        <x:v>11</x:v>
      </x:c>
      <x:c r="I47" s="48" t="str"/>
    </x:row>
    <x:row r="48">
      <x:c r="A48" s="47" t="str">
        <x:v>BSP_ULTRAFINE__ASP-900</x:v>
      </x:c>
      <x:c r="B48" s="27" t="str">
        <x:v>BSP_ULTRAFINE</x:v>
      </x:c>
      <x:c r="C48" s="27" t="str">
        <x:v>ASP-900</x:v>
      </x:c>
      <x:c r="D48" s="27" t="str">
        <x:v>classifier_motor_kw</x:v>
      </x:c>
      <x:c r="E48" s="27" t="n">
        <x:v>15</x:v>
      </x:c>
      <x:c r="F48" s="27" t="str"/>
      <x:c r="G48" s="27" t="str">
        <x:v>kW</x:v>
      </x:c>
      <x:c r="H48" s="27" t="n">
        <x:v>11</x:v>
      </x:c>
      <x:c r="I48" s="48" t="str"/>
    </x:row>
    <x:row r="49">
      <x:c r="A49" s="47" t="str">
        <x:v>BSP_ULTRAFINE__ASP-900</x:v>
      </x:c>
      <x:c r="B49" s="27" t="str">
        <x:v>BSP_ULTRAFINE</x:v>
      </x:c>
      <x:c r="C49" s="27" t="str">
        <x:v>ASP-900</x:v>
      </x:c>
      <x:c r="D49" s="27" t="str">
        <x:v>blower_motor_kw</x:v>
      </x:c>
      <x:c r="E49" s="27" t="n">
        <x:v>45</x:v>
      </x:c>
      <x:c r="F49" s="27" t="str"/>
      <x:c r="G49" s="27" t="str">
        <x:v>kW</x:v>
      </x:c>
      <x:c r="H49" s="27" t="n">
        <x:v>11</x:v>
      </x:c>
      <x:c r="I49" s="48" t="str"/>
    </x:row>
    <x:row r="50">
      <x:c r="A50" s="47" t="str">
        <x:v>BSP_ULTRAFINE__ASP-900</x:v>
      </x:c>
      <x:c r="B50" s="27" t="str">
        <x:v>BSP_ULTRAFINE</x:v>
      </x:c>
      <x:c r="C50" s="27" t="str">
        <x:v>ASP-900</x:v>
      </x:c>
      <x:c r="D50" s="27" t="str">
        <x:v>feed_motor_kw</x:v>
      </x:c>
      <x:c r="E50" s="27" t="n">
        <x:v>2.2</x:v>
      </x:c>
      <x:c r="F50" s="27" t="str"/>
      <x:c r="G50" s="27" t="str">
        <x:v>kW</x:v>
      </x:c>
      <x:c r="H50" s="27" t="n">
        <x:v>11</x:v>
      </x:c>
      <x:c r="I50" s="48" t="str"/>
    </x:row>
    <x:row r="51">
      <x:c r="A51" s="47" t="str">
        <x:v>BSP_ULTRAFINE__ASP-900</x:v>
      </x:c>
      <x:c r="B51" s="27" t="str">
        <x:v>BSP_ULTRAFINE</x:v>
      </x:c>
      <x:c r="C51" s="27" t="str">
        <x:v>ASP-900</x:v>
      </x:c>
      <x:c r="D51" s="27" t="str">
        <x:v>discharge_motor_kw</x:v>
      </x:c>
      <x:c r="E51" s="27" t="n">
        <x:v>1.5</x:v>
      </x:c>
      <x:c r="F51" s="27" t="str"/>
      <x:c r="G51" s="27" t="str">
        <x:v>kW</x:v>
      </x:c>
      <x:c r="H51" s="27" t="n">
        <x:v>11</x:v>
      </x:c>
      <x:c r="I51" s="48" t="str"/>
    </x:row>
    <x:row r="52">
      <x:c r="A52" s="47" t="str">
        <x:v>BSP_ULTRAFINE__ASP-900</x:v>
      </x:c>
      <x:c r="B52" s="27" t="str">
        <x:v>BSP_ULTRAFINE</x:v>
      </x:c>
      <x:c r="C52" s="27" t="str">
        <x:v>ASP-900</x:v>
      </x:c>
      <x:c r="D52" s="27" t="str">
        <x:v>classifier_speed_rpm</x:v>
      </x:c>
      <x:c r="E52" s="27" t="n">
        <x:v>3000</x:v>
      </x:c>
      <x:c r="F52" s="27" t="str"/>
      <x:c r="G52" s="27" t="str">
        <x:v>rpm</x:v>
      </x:c>
      <x:c r="H52" s="27" t="n">
        <x:v>11</x:v>
      </x:c>
      <x:c r="I52" s="48" t="str"/>
    </x:row>
    <x:row r="53">
      <x:c r="A53" s="47" t="str">
        <x:v>BSP_ULTRAFINE__ASP-1000</x:v>
      </x:c>
      <x:c r="B53" s="27" t="str">
        <x:v>BSP_ULTRAFINE</x:v>
      </x:c>
      <x:c r="C53" s="27" t="str">
        <x:v>ASP-1000</x:v>
      </x:c>
      <x:c r="D53" s="27" t="str">
        <x:v>classifier_motor_kw</x:v>
      </x:c>
      <x:c r="E53" s="27" t="n">
        <x:v>18.5</x:v>
      </x:c>
      <x:c r="F53" s="27" t="str"/>
      <x:c r="G53" s="27" t="str">
        <x:v>kW</x:v>
      </x:c>
      <x:c r="H53" s="27" t="n">
        <x:v>11</x:v>
      </x:c>
      <x:c r="I53" s="48" t="str"/>
    </x:row>
    <x:row r="54">
      <x:c r="A54" s="47" t="str">
        <x:v>BSP_ULTRAFINE__ASP-1000</x:v>
      </x:c>
      <x:c r="B54" s="27" t="str">
        <x:v>BSP_ULTRAFINE</x:v>
      </x:c>
      <x:c r="C54" s="27" t="str">
        <x:v>ASP-1000</x:v>
      </x:c>
      <x:c r="D54" s="27" t="str">
        <x:v>blower_motor_kw</x:v>
      </x:c>
      <x:c r="E54" s="27" t="n">
        <x:v>75</x:v>
      </x:c>
      <x:c r="F54" s="27" t="str"/>
      <x:c r="G54" s="27" t="str">
        <x:v>kW</x:v>
      </x:c>
      <x:c r="H54" s="27" t="n">
        <x:v>11</x:v>
      </x:c>
      <x:c r="I54" s="48" t="str"/>
    </x:row>
    <x:row r="55">
      <x:c r="A55" s="47" t="str">
        <x:v>BSP_ULTRAFINE__ASP-1000</x:v>
      </x:c>
      <x:c r="B55" s="27" t="str">
        <x:v>BSP_ULTRAFINE</x:v>
      </x:c>
      <x:c r="C55" s="27" t="str">
        <x:v>ASP-1000</x:v>
      </x:c>
      <x:c r="D55" s="27" t="str">
        <x:v>feed_motor_kw</x:v>
      </x:c>
      <x:c r="E55" s="27" t="n">
        <x:v>2.2</x:v>
      </x:c>
      <x:c r="F55" s="27" t="str"/>
      <x:c r="G55" s="27" t="str">
        <x:v>kW</x:v>
      </x:c>
      <x:c r="H55" s="27" t="n">
        <x:v>11</x:v>
      </x:c>
      <x:c r="I55" s="48" t="str"/>
    </x:row>
    <x:row r="56">
      <x:c r="A56" s="47" t="str">
        <x:v>BSP_ULTRAFINE__ASP-1000</x:v>
      </x:c>
      <x:c r="B56" s="27" t="str">
        <x:v>BSP_ULTRAFINE</x:v>
      </x:c>
      <x:c r="C56" s="27" t="str">
        <x:v>ASP-1000</x:v>
      </x:c>
      <x:c r="D56" s="27" t="str">
        <x:v>discharge_motor_kw</x:v>
      </x:c>
      <x:c r="E56" s="27" t="n">
        <x:v>1.5</x:v>
      </x:c>
      <x:c r="F56" s="27" t="str"/>
      <x:c r="G56" s="27" t="str">
        <x:v>kW</x:v>
      </x:c>
      <x:c r="H56" s="27" t="n">
        <x:v>11</x:v>
      </x:c>
      <x:c r="I56" s="48" t="str"/>
    </x:row>
    <x:row r="57">
      <x:c r="A57" s="47" t="str">
        <x:v>BSP_ULTRAFINE__ASP-1000</x:v>
      </x:c>
      <x:c r="B57" s="27" t="str">
        <x:v>BSP_ULTRAFINE</x:v>
      </x:c>
      <x:c r="C57" s="27" t="str">
        <x:v>ASP-1000</x:v>
      </x:c>
      <x:c r="D57" s="27" t="str">
        <x:v>classifier_speed_rpm</x:v>
      </x:c>
      <x:c r="E57" s="27" t="n">
        <x:v>3000</x:v>
      </x:c>
      <x:c r="F57" s="27" t="str"/>
      <x:c r="G57" s="27" t="str">
        <x:v>rpm</x:v>
      </x:c>
      <x:c r="H57" s="27" t="n">
        <x:v>11</x:v>
      </x:c>
      <x:c r="I57" s="48" t="str"/>
    </x:row>
    <x:row r="58">
      <x:c r="A58" s="47" t="str">
        <x:v>BSZ_PIN__ASZ-250</x:v>
      </x:c>
      <x:c r="B58" s="27" t="str">
        <x:v>BSZ_PIN</x:v>
      </x:c>
      <x:c r="C58" s="27" t="str">
        <x:v>ASZ-250</x:v>
      </x:c>
      <x:c r="D58" s="27" t="str">
        <x:v>chamber_motor_kw_min</x:v>
      </x:c>
      <x:c r="E58" s="27" t="n">
        <x:v>11</x:v>
      </x:c>
      <x:c r="F58" s="27" t="str"/>
      <x:c r="G58" s="27" t="str">
        <x:v>kW</x:v>
      </x:c>
      <x:c r="H58" s="27" t="n">
        <x:v>13</x:v>
      </x:c>
      <x:c r="I58" s="48" t="str"/>
    </x:row>
    <x:row r="59">
      <x:c r="A59" s="47" t="str">
        <x:v>BSZ_PIN__ASZ-250</x:v>
      </x:c>
      <x:c r="B59" s="27" t="str">
        <x:v>BSZ_PIN</x:v>
      </x:c>
      <x:c r="C59" s="27" t="str">
        <x:v>ASZ-250</x:v>
      </x:c>
      <x:c r="D59" s="27" t="str">
        <x:v>chamber_motor_kw_max</x:v>
      </x:c>
      <x:c r="E59" s="27" t="n">
        <x:v>11</x:v>
      </x:c>
      <x:c r="F59" s="27" t="str"/>
      <x:c r="G59" s="27" t="str">
        <x:v>kW</x:v>
      </x:c>
      <x:c r="H59" s="27" t="n">
        <x:v>13</x:v>
      </x:c>
      <x:c r="I59" s="48" t="str"/>
    </x:row>
    <x:row r="60">
      <x:c r="A60" s="47" t="str">
        <x:v>BSZ_PIN__ASZ-250</x:v>
      </x:c>
      <x:c r="B60" s="27" t="str">
        <x:v>BSZ_PIN</x:v>
      </x:c>
      <x:c r="C60" s="27" t="str">
        <x:v>ASZ-250</x:v>
      </x:c>
      <x:c r="D60" s="27" t="str">
        <x:v>door_motor_kw_min</x:v>
      </x:c>
      <x:c r="E60" s="27" t="n">
        <x:v>7.5</x:v>
      </x:c>
      <x:c r="F60" s="27" t="str"/>
      <x:c r="G60" s="27" t="str">
        <x:v>kW</x:v>
      </x:c>
      <x:c r="H60" s="27" t="n">
        <x:v>13</x:v>
      </x:c>
      <x:c r="I60" s="48" t="str"/>
    </x:row>
    <x:row r="61">
      <x:c r="A61" s="47" t="str">
        <x:v>BSZ_PIN__ASZ-250</x:v>
      </x:c>
      <x:c r="B61" s="27" t="str">
        <x:v>BSZ_PIN</x:v>
      </x:c>
      <x:c r="C61" s="27" t="str">
        <x:v>ASZ-250</x:v>
      </x:c>
      <x:c r="D61" s="27" t="str">
        <x:v>door_motor_kw_max</x:v>
      </x:c>
      <x:c r="E61" s="27" t="n">
        <x:v>7.5</x:v>
      </x:c>
      <x:c r="F61" s="27" t="str"/>
      <x:c r="G61" s="27" t="str">
        <x:v>kW</x:v>
      </x:c>
      <x:c r="H61" s="27" t="n">
        <x:v>13</x:v>
      </x:c>
      <x:c r="I61" s="48" t="str"/>
    </x:row>
    <x:row r="62">
      <x:c r="A62" s="47" t="str">
        <x:v>BSZ_PIN__ASZ-350</x:v>
      </x:c>
      <x:c r="B62" s="27" t="str">
        <x:v>BSZ_PIN</x:v>
      </x:c>
      <x:c r="C62" s="27" t="str">
        <x:v>ASZ-350</x:v>
      </x:c>
      <x:c r="D62" s="27" t="str">
        <x:v>chamber_motor_kw_min</x:v>
      </x:c>
      <x:c r="E62" s="27" t="n">
        <x:v>15</x:v>
      </x:c>
      <x:c r="F62" s="27" t="str"/>
      <x:c r="G62" s="27" t="str">
        <x:v>kW</x:v>
      </x:c>
      <x:c r="H62" s="27" t="n">
        <x:v>13</x:v>
      </x:c>
      <x:c r="I62" s="48" t="str"/>
    </x:row>
    <x:row r="63">
      <x:c r="A63" s="47" t="str">
        <x:v>BSZ_PIN__ASZ-350</x:v>
      </x:c>
      <x:c r="B63" s="27" t="str">
        <x:v>BSZ_PIN</x:v>
      </x:c>
      <x:c r="C63" s="27" t="str">
        <x:v>ASZ-350</x:v>
      </x:c>
      <x:c r="D63" s="27" t="str">
        <x:v>chamber_motor_kw_max</x:v>
      </x:c>
      <x:c r="E63" s="27" t="n">
        <x:v>18.5</x:v>
      </x:c>
      <x:c r="F63" s="27" t="str"/>
      <x:c r="G63" s="27" t="str">
        <x:v>kW</x:v>
      </x:c>
      <x:c r="H63" s="27" t="n">
        <x:v>13</x:v>
      </x:c>
      <x:c r="I63" s="48" t="str"/>
    </x:row>
    <x:row r="64">
      <x:c r="A64" s="47" t="str">
        <x:v>BSZ_PIN__ASZ-350</x:v>
      </x:c>
      <x:c r="B64" s="27" t="str">
        <x:v>BSZ_PIN</x:v>
      </x:c>
      <x:c r="C64" s="27" t="str">
        <x:v>ASZ-350</x:v>
      </x:c>
      <x:c r="D64" s="27" t="str">
        <x:v>door_motor_kw_min</x:v>
      </x:c>
      <x:c r="E64" s="27" t="n">
        <x:v>15</x:v>
      </x:c>
      <x:c r="F64" s="27" t="str"/>
      <x:c r="G64" s="27" t="str">
        <x:v>kW</x:v>
      </x:c>
      <x:c r="H64" s="27" t="n">
        <x:v>13</x:v>
      </x:c>
      <x:c r="I64" s="48" t="str"/>
    </x:row>
    <x:row r="65">
      <x:c r="A65" s="47" t="str">
        <x:v>BSZ_PIN__ASZ-350</x:v>
      </x:c>
      <x:c r="B65" s="27" t="str">
        <x:v>BSZ_PIN</x:v>
      </x:c>
      <x:c r="C65" s="27" t="str">
        <x:v>ASZ-350</x:v>
      </x:c>
      <x:c r="D65" s="27" t="str">
        <x:v>door_motor_kw_max</x:v>
      </x:c>
      <x:c r="E65" s="27" t="n">
        <x:v>18.5</x:v>
      </x:c>
      <x:c r="F65" s="27" t="str"/>
      <x:c r="G65" s="27" t="str">
        <x:v>kW</x:v>
      </x:c>
      <x:c r="H65" s="27" t="n">
        <x:v>13</x:v>
      </x:c>
      <x:c r="I65" s="48" t="str"/>
    </x:row>
    <x:row r="66">
      <x:c r="A66" s="47" t="str">
        <x:v>BSZ_PIN__ASZ-450</x:v>
      </x:c>
      <x:c r="B66" s="27" t="str">
        <x:v>BSZ_PIN</x:v>
      </x:c>
      <x:c r="C66" s="27" t="str">
        <x:v>ASZ-450</x:v>
      </x:c>
      <x:c r="D66" s="27" t="str">
        <x:v>chamber_motor_kw_min</x:v>
      </x:c>
      <x:c r="E66" s="27" t="n">
        <x:v>22</x:v>
      </x:c>
      <x:c r="F66" s="27" t="str"/>
      <x:c r="G66" s="27" t="str">
        <x:v>kW</x:v>
      </x:c>
      <x:c r="H66" s="27" t="n">
        <x:v>13</x:v>
      </x:c>
      <x:c r="I66" s="48" t="str"/>
    </x:row>
    <x:row r="67">
      <x:c r="A67" s="47" t="str">
        <x:v>BSZ_PIN__ASZ-450</x:v>
      </x:c>
      <x:c r="B67" s="27" t="str">
        <x:v>BSZ_PIN</x:v>
      </x:c>
      <x:c r="C67" s="27" t="str">
        <x:v>ASZ-450</x:v>
      </x:c>
      <x:c r="D67" s="27" t="str">
        <x:v>chamber_motor_kw_max</x:v>
      </x:c>
      <x:c r="E67" s="27" t="n">
        <x:v>30</x:v>
      </x:c>
      <x:c r="F67" s="27" t="str"/>
      <x:c r="G67" s="27" t="str">
        <x:v>kW</x:v>
      </x:c>
      <x:c r="H67" s="27" t="n">
        <x:v>13</x:v>
      </x:c>
      <x:c r="I67" s="48" t="str"/>
    </x:row>
    <x:row r="68">
      <x:c r="A68" s="47" t="str">
        <x:v>BSZ_PIN__ASZ-450</x:v>
      </x:c>
      <x:c r="B68" s="27" t="str">
        <x:v>BSZ_PIN</x:v>
      </x:c>
      <x:c r="C68" s="27" t="str">
        <x:v>ASZ-450</x:v>
      </x:c>
      <x:c r="D68" s="27" t="str">
        <x:v>door_motor_kw_min</x:v>
      </x:c>
      <x:c r="E68" s="27" t="n">
        <x:v>22</x:v>
      </x:c>
      <x:c r="F68" s="27" t="str"/>
      <x:c r="G68" s="27" t="str">
        <x:v>kW</x:v>
      </x:c>
      <x:c r="H68" s="27" t="n">
        <x:v>13</x:v>
      </x:c>
      <x:c r="I68" s="48" t="str"/>
    </x:row>
    <x:row r="69">
      <x:c r="A69" s="47" t="str">
        <x:v>BSZ_PIN__ASZ-450</x:v>
      </x:c>
      <x:c r="B69" s="27" t="str">
        <x:v>BSZ_PIN</x:v>
      </x:c>
      <x:c r="C69" s="27" t="str">
        <x:v>ASZ-450</x:v>
      </x:c>
      <x:c r="D69" s="27" t="str">
        <x:v>door_motor_kw_max</x:v>
      </x:c>
      <x:c r="E69" s="27" t="n">
        <x:v>30</x:v>
      </x:c>
      <x:c r="F69" s="27" t="str"/>
      <x:c r="G69" s="27" t="str">
        <x:v>kW</x:v>
      </x:c>
      <x:c r="H69" s="27" t="n">
        <x:v>13</x:v>
      </x:c>
      <x:c r="I69" s="48" t="str"/>
    </x:row>
    <x:row r="70">
      <x:c r="A70" s="47" t="str">
        <x:v>BSZ_PIN__ASZ-550</x:v>
      </x:c>
      <x:c r="B70" s="27" t="str">
        <x:v>BSZ_PIN</x:v>
      </x:c>
      <x:c r="C70" s="27" t="str">
        <x:v>ASZ-550</x:v>
      </x:c>
      <x:c r="D70" s="27" t="str">
        <x:v>chamber_motor_kw_min</x:v>
      </x:c>
      <x:c r="E70" s="27" t="n">
        <x:v>30</x:v>
      </x:c>
      <x:c r="F70" s="27" t="str"/>
      <x:c r="G70" s="27" t="str">
        <x:v>kW</x:v>
      </x:c>
      <x:c r="H70" s="27" t="n">
        <x:v>13</x:v>
      </x:c>
      <x:c r="I70" s="48" t="str"/>
    </x:row>
    <x:row r="71">
      <x:c r="A71" s="47" t="str">
        <x:v>BSZ_PIN__ASZ-550</x:v>
      </x:c>
      <x:c r="B71" s="27" t="str">
        <x:v>BSZ_PIN</x:v>
      </x:c>
      <x:c r="C71" s="27" t="str">
        <x:v>ASZ-550</x:v>
      </x:c>
      <x:c r="D71" s="27" t="str">
        <x:v>chamber_motor_kw_max</x:v>
      </x:c>
      <x:c r="E71" s="27" t="n">
        <x:v>37</x:v>
      </x:c>
      <x:c r="F71" s="27" t="str"/>
      <x:c r="G71" s="27" t="str">
        <x:v>kW</x:v>
      </x:c>
      <x:c r="H71" s="27" t="n">
        <x:v>13</x:v>
      </x:c>
      <x:c r="I71" s="48" t="str"/>
    </x:row>
    <x:row r="72">
      <x:c r="A72" s="47" t="str">
        <x:v>BSZ_PIN__ASZ-550</x:v>
      </x:c>
      <x:c r="B72" s="27" t="str">
        <x:v>BSZ_PIN</x:v>
      </x:c>
      <x:c r="C72" s="27" t="str">
        <x:v>ASZ-550</x:v>
      </x:c>
      <x:c r="D72" s="27" t="str">
        <x:v>door_motor_kw_min</x:v>
      </x:c>
      <x:c r="E72" s="27" t="n">
        <x:v>30</x:v>
      </x:c>
      <x:c r="F72" s="27" t="str"/>
      <x:c r="G72" s="27" t="str">
        <x:v>kW</x:v>
      </x:c>
      <x:c r="H72" s="27" t="n">
        <x:v>13</x:v>
      </x:c>
      <x:c r="I72" s="48" t="str"/>
    </x:row>
    <x:row r="73">
      <x:c r="A73" s="47" t="str">
        <x:v>BSZ_PIN__ASZ-550</x:v>
      </x:c>
      <x:c r="B73" s="27" t="str">
        <x:v>BSZ_PIN</x:v>
      </x:c>
      <x:c r="C73" s="27" t="str">
        <x:v>ASZ-550</x:v>
      </x:c>
      <x:c r="D73" s="27" t="str">
        <x:v>door_motor_kw_max</x:v>
      </x:c>
      <x:c r="E73" s="27" t="n">
        <x:v>37</x:v>
      </x:c>
      <x:c r="F73" s="27" t="str"/>
      <x:c r="G73" s="27" t="str">
        <x:v>kW</x:v>
      </x:c>
      <x:c r="H73" s="27" t="n">
        <x:v>13</x:v>
      </x:c>
      <x:c r="I73" s="48" t="str"/>
    </x:row>
    <x:row r="74">
      <x:c r="A74" s="47" t="str">
        <x:v>BSZ_PIN__ASZ-630</x:v>
      </x:c>
      <x:c r="B74" s="27" t="str">
        <x:v>BSZ_PIN</x:v>
      </x:c>
      <x:c r="C74" s="27" t="str">
        <x:v>ASZ-630</x:v>
      </x:c>
      <x:c r="D74" s="27" t="str">
        <x:v>chamber_motor_kw_min</x:v>
      </x:c>
      <x:c r="E74" s="27" t="n">
        <x:v>55</x:v>
      </x:c>
      <x:c r="F74" s="27" t="str"/>
      <x:c r="G74" s="27" t="str">
        <x:v>kW</x:v>
      </x:c>
      <x:c r="H74" s="27" t="n">
        <x:v>13</x:v>
      </x:c>
      <x:c r="I74" s="48" t="str"/>
    </x:row>
    <x:row r="75">
      <x:c r="A75" s="47" t="str">
        <x:v>BSZ_PIN__ASZ-630</x:v>
      </x:c>
      <x:c r="B75" s="27" t="str">
        <x:v>BSZ_PIN</x:v>
      </x:c>
      <x:c r="C75" s="27" t="str">
        <x:v>ASZ-630</x:v>
      </x:c>
      <x:c r="D75" s="27" t="str">
        <x:v>chamber_motor_kw_max</x:v>
      </x:c>
      <x:c r="E75" s="27" t="n">
        <x:v>55</x:v>
      </x:c>
      <x:c r="F75" s="27" t="str"/>
      <x:c r="G75" s="27" t="str">
        <x:v>kW</x:v>
      </x:c>
      <x:c r="H75" s="27" t="n">
        <x:v>13</x:v>
      </x:c>
      <x:c r="I75" s="48" t="str"/>
    </x:row>
    <x:row r="76">
      <x:c r="A76" s="47" t="str">
        <x:v>BSZ_PIN__ASZ-630</x:v>
      </x:c>
      <x:c r="B76" s="27" t="str">
        <x:v>BSZ_PIN</x:v>
      </x:c>
      <x:c r="C76" s="27" t="str">
        <x:v>ASZ-630</x:v>
      </x:c>
      <x:c r="D76" s="27" t="str">
        <x:v>door_motor_kw_min</x:v>
      </x:c>
      <x:c r="E76" s="27" t="n">
        <x:v>55</x:v>
      </x:c>
      <x:c r="F76" s="27" t="str"/>
      <x:c r="G76" s="27" t="str">
        <x:v>kW</x:v>
      </x:c>
      <x:c r="H76" s="27" t="n">
        <x:v>13</x:v>
      </x:c>
      <x:c r="I76" s="48" t="str"/>
    </x:row>
    <x:row r="77">
      <x:c r="A77" s="47" t="str">
        <x:v>BSZ_PIN__ASZ-630</x:v>
      </x:c>
      <x:c r="B77" s="27" t="str">
        <x:v>BSZ_PIN</x:v>
      </x:c>
      <x:c r="C77" s="27" t="str">
        <x:v>ASZ-630</x:v>
      </x:c>
      <x:c r="D77" s="27" t="str">
        <x:v>door_motor_kw_max</x:v>
      </x:c>
      <x:c r="E77" s="27" t="n">
        <x:v>55</x:v>
      </x:c>
      <x:c r="F77" s="27" t="str"/>
      <x:c r="G77" s="27" t="str">
        <x:v>kW</x:v>
      </x:c>
      <x:c r="H77" s="27" t="n">
        <x:v>13</x:v>
      </x:c>
      <x:c r="I77" s="48" t="str"/>
    </x:row>
    <x:row r="78">
      <x:c r="A78" s="47" t="str">
        <x:v>BSF_BS_HAMMER__ASF-15</x:v>
      </x:c>
      <x:c r="B78" s="27" t="str">
        <x:v>BSF_BS_HAMMER</x:v>
      </x:c>
      <x:c r="C78" s="27" t="str">
        <x:v>ASF-15</x:v>
      </x:c>
      <x:c r="D78" s="27" t="str">
        <x:v>discharge_motor_kw</x:v>
      </x:c>
      <x:c r="E78" s="27"/>
      <x:c r="F78" s="27" t="str"/>
      <x:c r="G78" s="27" t="str">
        <x:v>kW</x:v>
      </x:c>
      <x:c r="H78" s="27" t="n">
        <x:v>15</x:v>
      </x:c>
      <x:c r="I78" s="48" t="str"/>
    </x:row>
    <x:row r="79">
      <x:c r="A79" s="47" t="str">
        <x:v>BSF_BS_HAMMER__ASF-15</x:v>
      </x:c>
      <x:c r="B79" s="27" t="str">
        <x:v>BSF_BS_HAMMER</x:v>
      </x:c>
      <x:c r="C79" s="27" t="str">
        <x:v>ASF-15</x:v>
      </x:c>
      <x:c r="D79" s="27" t="str">
        <x:v>blower_motor_kw</x:v>
      </x:c>
      <x:c r="E79" s="27"/>
      <x:c r="F79" s="27" t="str"/>
      <x:c r="G79" s="27" t="str">
        <x:v>kW</x:v>
      </x:c>
      <x:c r="H79" s="27" t="n">
        <x:v>15</x:v>
      </x:c>
      <x:c r="I79" s="48" t="str"/>
    </x:row>
    <x:row r="80">
      <x:c r="A80" s="47" t="str">
        <x:v>BSF_BS_HAMMER__ASF-32</x:v>
      </x:c>
      <x:c r="B80" s="27" t="str">
        <x:v>BSF_BS_HAMMER</x:v>
      </x:c>
      <x:c r="C80" s="27" t="str">
        <x:v>ASF-32</x:v>
      </x:c>
      <x:c r="D80" s="27" t="str">
        <x:v>discharge_motor_kw</x:v>
      </x:c>
      <x:c r="E80" s="27"/>
      <x:c r="F80" s="27" t="str"/>
      <x:c r="G80" s="27" t="str">
        <x:v>kW</x:v>
      </x:c>
      <x:c r="H80" s="27" t="n">
        <x:v>15</x:v>
      </x:c>
      <x:c r="I80" s="48" t="str"/>
    </x:row>
    <x:row r="81">
      <x:c r="A81" s="47" t="str">
        <x:v>BSF_BS_HAMMER__ASF-32</x:v>
      </x:c>
      <x:c r="B81" s="27" t="str">
        <x:v>BSF_BS_HAMMER</x:v>
      </x:c>
      <x:c r="C81" s="27" t="str">
        <x:v>ASF-32</x:v>
      </x:c>
      <x:c r="D81" s="27" t="str">
        <x:v>blower_motor_kw</x:v>
      </x:c>
      <x:c r="E81" s="27"/>
      <x:c r="F81" s="27" t="str"/>
      <x:c r="G81" s="27" t="str">
        <x:v>kW</x:v>
      </x:c>
      <x:c r="H81" s="27" t="n">
        <x:v>15</x:v>
      </x:c>
      <x:c r="I81" s="48" t="str"/>
    </x:row>
    <x:row r="82">
      <x:c r="A82" s="47" t="str">
        <x:v>BSF_BS_HAMMER__AS-200</x:v>
      </x:c>
      <x:c r="B82" s="27" t="str">
        <x:v>BSF_BS_HAMMER</x:v>
      </x:c>
      <x:c r="C82" s="27" t="str">
        <x:v>AS-200</x:v>
      </x:c>
      <x:c r="D82" s="27" t="str">
        <x:v>discharge_motor_kw</x:v>
      </x:c>
      <x:c r="E82" s="27" t="n">
        <x:v>0.75</x:v>
      </x:c>
      <x:c r="F82" s="27" t="str"/>
      <x:c r="G82" s="27" t="str">
        <x:v>kW</x:v>
      </x:c>
      <x:c r="H82" s="27" t="n">
        <x:v>15</x:v>
      </x:c>
      <x:c r="I82" s="48" t="str"/>
    </x:row>
    <x:row r="83">
      <x:c r="A83" s="47" t="str">
        <x:v>BSF_BS_HAMMER__AS-200</x:v>
      </x:c>
      <x:c r="B83" s="27" t="str">
        <x:v>BSF_BS_HAMMER</x:v>
      </x:c>
      <x:c r="C83" s="27" t="str">
        <x:v>AS-200</x:v>
      </x:c>
      <x:c r="D83" s="27" t="str">
        <x:v>blower_motor_kw</x:v>
      </x:c>
      <x:c r="E83" s="27" t="n">
        <x:v>3</x:v>
      </x:c>
      <x:c r="F83" s="27" t="str"/>
      <x:c r="G83" s="27" t="str">
        <x:v>kW</x:v>
      </x:c>
      <x:c r="H83" s="27" t="n">
        <x:v>15</x:v>
      </x:c>
      <x:c r="I83" s="48" t="str"/>
    </x:row>
    <x:row r="84">
      <x:c r="A84" s="47" t="str">
        <x:v>BSF_BS_HAMMER__AS-320</x:v>
      </x:c>
      <x:c r="B84" s="27" t="str">
        <x:v>BSF_BS_HAMMER</x:v>
      </x:c>
      <x:c r="C84" s="27" t="str">
        <x:v>AS-320</x:v>
      </x:c>
      <x:c r="D84" s="27" t="str">
        <x:v>discharge_motor_kw</x:v>
      </x:c>
      <x:c r="E84" s="27" t="n">
        <x:v>0.75</x:v>
      </x:c>
      <x:c r="F84" s="27" t="str"/>
      <x:c r="G84" s="27" t="str">
        <x:v>kW</x:v>
      </x:c>
      <x:c r="H84" s="27" t="n">
        <x:v>15</x:v>
      </x:c>
      <x:c r="I84" s="48" t="str"/>
    </x:row>
    <x:row r="85">
      <x:c r="A85" s="47" t="str">
        <x:v>BSF_BS_HAMMER__AS-320</x:v>
      </x:c>
      <x:c r="B85" s="27" t="str">
        <x:v>BSF_BS_HAMMER</x:v>
      </x:c>
      <x:c r="C85" s="27" t="str">
        <x:v>AS-320</x:v>
      </x:c>
      <x:c r="D85" s="27" t="str">
        <x:v>blower_motor_kw</x:v>
      </x:c>
      <x:c r="E85" s="27" t="n">
        <x:v>3</x:v>
      </x:c>
      <x:c r="F85" s="27" t="str"/>
      <x:c r="G85" s="27" t="str">
        <x:v>kW</x:v>
      </x:c>
      <x:c r="H85" s="27" t="n">
        <x:v>15</x:v>
      </x:c>
      <x:c r="I85" s="48" t="str"/>
    </x:row>
    <x:row r="86">
      <x:c r="A86" s="47" t="str">
        <x:v>BSF_BS_HAMMER__AS-400</x:v>
      </x:c>
      <x:c r="B86" s="27" t="str">
        <x:v>BSF_BS_HAMMER</x:v>
      </x:c>
      <x:c r="C86" s="27" t="str">
        <x:v>AS-400</x:v>
      </x:c>
      <x:c r="D86" s="27" t="str">
        <x:v>discharge_motor_kw</x:v>
      </x:c>
      <x:c r="E86" s="27" t="n">
        <x:v>0.75</x:v>
      </x:c>
      <x:c r="F86" s="27" t="str"/>
      <x:c r="G86" s="27" t="str">
        <x:v>kW</x:v>
      </x:c>
      <x:c r="H86" s="27" t="n">
        <x:v>15</x:v>
      </x:c>
      <x:c r="I86" s="48" t="str"/>
    </x:row>
    <x:row r="87">
      <x:c r="A87" s="47" t="str">
        <x:v>BSF_BS_HAMMER__AS-400</x:v>
      </x:c>
      <x:c r="B87" s="27" t="str">
        <x:v>BSF_BS_HAMMER</x:v>
      </x:c>
      <x:c r="C87" s="27" t="str">
        <x:v>AS-400</x:v>
      </x:c>
      <x:c r="D87" s="27" t="str">
        <x:v>blower_motor_kw</x:v>
      </x:c>
      <x:c r="E87" s="27" t="n">
        <x:v>15</x:v>
      </x:c>
      <x:c r="F87" s="27" t="str"/>
      <x:c r="G87" s="27" t="str">
        <x:v>kW</x:v>
      </x:c>
      <x:c r="H87" s="27" t="n">
        <x:v>15</x:v>
      </x:c>
      <x:c r="I87" s="48" t="str"/>
    </x:row>
    <x:row r="88">
      <x:c r="A88" s="47" t="str">
        <x:v>BSF_BS_HAMMER__AS-630</x:v>
      </x:c>
      <x:c r="B88" s="27" t="str">
        <x:v>BSF_BS_HAMMER</x:v>
      </x:c>
      <x:c r="C88" s="27" t="str">
        <x:v>AS-630</x:v>
      </x:c>
      <x:c r="D88" s="27" t="str">
        <x:v>discharge_motor_kw</x:v>
      </x:c>
      <x:c r="E88" s="27" t="n">
        <x:v>1.1</x:v>
      </x:c>
      <x:c r="F88" s="27" t="str"/>
      <x:c r="G88" s="27" t="str">
        <x:v>kW</x:v>
      </x:c>
      <x:c r="H88" s="27" t="n">
        <x:v>15</x:v>
      </x:c>
      <x:c r="I88" s="48" t="str"/>
    </x:row>
    <x:row r="89">
      <x:c r="A89" s="47" t="str">
        <x:v>BSF_BS_HAMMER__AS-630</x:v>
      </x:c>
      <x:c r="B89" s="27" t="str">
        <x:v>BSF_BS_HAMMER</x:v>
      </x:c>
      <x:c r="C89" s="27" t="str">
        <x:v>AS-630</x:v>
      </x:c>
      <x:c r="D89" s="27" t="str">
        <x:v>blower_motor_kw</x:v>
      </x:c>
      <x:c r="E89" s="27" t="n">
        <x:v>18.5</x:v>
      </x:c>
      <x:c r="F89" s="27" t="str"/>
      <x:c r="G89" s="27" t="str">
        <x:v>kW</x:v>
      </x:c>
      <x:c r="H89" s="27" t="n">
        <x:v>15</x:v>
      </x:c>
      <x:c r="I89" s="48" t="str"/>
    </x:row>
    <x:row r="90">
      <x:c r="A90" s="47" t="str">
        <x:v>BSF_BS_HAMMER__AS-880</x:v>
      </x:c>
      <x:c r="B90" s="27" t="str">
        <x:v>BSF_BS_HAMMER</x:v>
      </x:c>
      <x:c r="C90" s="27" t="str">
        <x:v>AS-880</x:v>
      </x:c>
      <x:c r="D90" s="27" t="str">
        <x:v>discharge_motor_kw</x:v>
      </x:c>
      <x:c r="E90" s="27" t="n">
        <x:v>1.5</x:v>
      </x:c>
      <x:c r="F90" s="27" t="str"/>
      <x:c r="G90" s="27" t="str">
        <x:v>kW</x:v>
      </x:c>
      <x:c r="H90" s="27" t="n">
        <x:v>15</x:v>
      </x:c>
      <x:c r="I90" s="48" t="str"/>
    </x:row>
    <x:row r="91">
      <x:c r="A91" s="47" t="str">
        <x:v>BSF_BS_HAMMER__AS-880</x:v>
      </x:c>
      <x:c r="B91" s="27" t="str">
        <x:v>BSF_BS_HAMMER</x:v>
      </x:c>
      <x:c r="C91" s="27" t="str">
        <x:v>AS-880</x:v>
      </x:c>
      <x:c r="D91" s="27" t="str">
        <x:v>blower_motor_kw</x:v>
      </x:c>
      <x:c r="E91" s="27" t="n">
        <x:v>18.5</x:v>
      </x:c>
      <x:c r="F91" s="27" t="str"/>
      <x:c r="G91" s="27" t="str">
        <x:v>kW</x:v>
      </x:c>
      <x:c r="H91" s="27" t="n">
        <x:v>15</x:v>
      </x:c>
      <x:c r="I91" s="48" t="str"/>
    </x:row>
    <x:row r="92">
      <x:c r="A92" s="47" t="str">
        <x:v>BSF_BS_HAMMER__AS-1000</x:v>
      </x:c>
      <x:c r="B92" s="27" t="str">
        <x:v>BSF_BS_HAMMER</x:v>
      </x:c>
      <x:c r="C92" s="27" t="str">
        <x:v>AS-1000</x:v>
      </x:c>
      <x:c r="D92" s="27" t="str">
        <x:v>discharge_motor_kw</x:v>
      </x:c>
      <x:c r="E92" s="27" t="n">
        <x:v>1.5</x:v>
      </x:c>
      <x:c r="F92" s="27" t="str"/>
      <x:c r="G92" s="27" t="str">
        <x:v>kW</x:v>
      </x:c>
      <x:c r="H92" s="27" t="n">
        <x:v>15</x:v>
      </x:c>
      <x:c r="I92" s="48" t="str"/>
    </x:row>
    <x:row r="93">
      <x:c r="A93" s="47" t="str">
        <x:v>BSF_BS_HAMMER__AS-1000</x:v>
      </x:c>
      <x:c r="B93" s="27" t="str">
        <x:v>BSF_BS_HAMMER</x:v>
      </x:c>
      <x:c r="C93" s="27" t="str">
        <x:v>AS-1000</x:v>
      </x:c>
      <x:c r="D93" s="27" t="str">
        <x:v>blower_motor_kw</x:v>
      </x:c>
      <x:c r="E93" s="27" t="n">
        <x:v>30</x:v>
      </x:c>
      <x:c r="F93" s="27" t="str"/>
      <x:c r="G93" s="27" t="str">
        <x:v>kW</x:v>
      </x:c>
      <x:c r="H93" s="27" t="n">
        <x:v>15</x:v>
      </x:c>
      <x:c r="I93" s="48" t="str"/>
    </x:row>
    <x:row r="94">
      <x:c r="A94" s="47" t="str">
        <x:v>BSDF_MULTISTAGE__ASDF-350</x:v>
      </x:c>
      <x:c r="B94" s="27" t="str">
        <x:v>BSDF_MULTISTAGE</x:v>
      </x:c>
      <x:c r="C94" s="27" t="str">
        <x:v>ASDF-350</x:v>
      </x:c>
      <x:c r="D94" s="27" t="str">
        <x:v>discharge_motor_kw</x:v>
      </x:c>
      <x:c r="E94" s="27" t="n">
        <x:v>0.75</x:v>
      </x:c>
      <x:c r="F94" s="27" t="str"/>
      <x:c r="G94" s="27" t="str">
        <x:v>kW</x:v>
      </x:c>
      <x:c r="H94" s="27" t="n">
        <x:v>17</x:v>
      </x:c>
      <x:c r="I94" s="48" t="str"/>
    </x:row>
    <x:row r="95">
      <x:c r="A95" s="47" t="str">
        <x:v>BSDF_MULTISTAGE__ASDF-350</x:v>
      </x:c>
      <x:c r="B95" s="27" t="str">
        <x:v>BSDF_MULTISTAGE</x:v>
      </x:c>
      <x:c r="C95" s="27" t="str">
        <x:v>ASDF-350</x:v>
      </x:c>
      <x:c r="D95" s="27" t="str">
        <x:v>blower_motor_kw</x:v>
      </x:c>
      <x:c r="E95" s="27" t="n">
        <x:v>7.5</x:v>
      </x:c>
      <x:c r="F95" s="27" t="str"/>
      <x:c r="G95" s="27" t="str">
        <x:v>kW</x:v>
      </x:c>
      <x:c r="H95" s="27" t="n">
        <x:v>17</x:v>
      </x:c>
      <x:c r="I95" s="48" t="str"/>
    </x:row>
    <x:row r="96">
      <x:c r="A96" s="47" t="str">
        <x:v>BSDF_MULTISTAGE__ASDF-450</x:v>
      </x:c>
      <x:c r="B96" s="27" t="str">
        <x:v>BSDF_MULTISTAGE</x:v>
      </x:c>
      <x:c r="C96" s="27" t="str">
        <x:v>ASDF-450</x:v>
      </x:c>
      <x:c r="D96" s="27" t="str">
        <x:v>discharge_motor_kw</x:v>
      </x:c>
      <x:c r="E96" s="27" t="n">
        <x:v>0.75</x:v>
      </x:c>
      <x:c r="F96" s="27" t="str"/>
      <x:c r="G96" s="27" t="str">
        <x:v>kW</x:v>
      </x:c>
      <x:c r="H96" s="27" t="n">
        <x:v>17</x:v>
      </x:c>
      <x:c r="I96" s="48" t="str"/>
    </x:row>
    <x:row r="97">
      <x:c r="A97" s="47" t="str">
        <x:v>BSDF_MULTISTAGE__ASDF-450</x:v>
      </x:c>
      <x:c r="B97" s="27" t="str">
        <x:v>BSDF_MULTISTAGE</x:v>
      </x:c>
      <x:c r="C97" s="27" t="str">
        <x:v>ASDF-450</x:v>
      </x:c>
      <x:c r="D97" s="27" t="str">
        <x:v>blower_motor_kw</x:v>
      </x:c>
      <x:c r="E97" s="27" t="n">
        <x:v>11</x:v>
      </x:c>
      <x:c r="F97" s="27" t="str"/>
      <x:c r="G97" s="27" t="str">
        <x:v>kW</x:v>
      </x:c>
      <x:c r="H97" s="27" t="n">
        <x:v>17</x:v>
      </x:c>
      <x:c r="I97" s="48" t="str"/>
    </x:row>
    <x:row r="98">
      <x:c r="A98" s="47" t="str">
        <x:v>BSDF_MULTISTAGE__ASDF-550</x:v>
      </x:c>
      <x:c r="B98" s="27" t="str">
        <x:v>BSDF_MULTISTAGE</x:v>
      </x:c>
      <x:c r="C98" s="27" t="str">
        <x:v>ASDF-550</x:v>
      </x:c>
      <x:c r="D98" s="27" t="str">
        <x:v>discharge_motor_kw</x:v>
      </x:c>
      <x:c r="E98" s="27" t="n">
        <x:v>1.1</x:v>
      </x:c>
      <x:c r="F98" s="27" t="str"/>
      <x:c r="G98" s="27" t="str">
        <x:v>kW</x:v>
      </x:c>
      <x:c r="H98" s="27" t="n">
        <x:v>17</x:v>
      </x:c>
      <x:c r="I98" s="48" t="str"/>
    </x:row>
    <x:row r="99">
      <x:c r="A99" s="47" t="str">
        <x:v>BSDF_MULTISTAGE__ASDF-550</x:v>
      </x:c>
      <x:c r="B99" s="27" t="str">
        <x:v>BSDF_MULTISTAGE</x:v>
      </x:c>
      <x:c r="C99" s="27" t="str">
        <x:v>ASDF-550</x:v>
      </x:c>
      <x:c r="D99" s="27" t="str">
        <x:v>blower_motor_kw</x:v>
      </x:c>
      <x:c r="E99" s="27" t="n">
        <x:v>15</x:v>
      </x:c>
      <x:c r="F99" s="27" t="str"/>
      <x:c r="G99" s="27" t="str">
        <x:v>kW</x:v>
      </x:c>
      <x:c r="H99" s="27" t="n">
        <x:v>17</x:v>
      </x:c>
      <x:c r="I99" s="48" t="str"/>
    </x:row>
    <x:row r="100">
      <x:c r="A100" s="47" t="str">
        <x:v>BSDF_MULTISTAGE__ASDF-750</x:v>
      </x:c>
      <x:c r="B100" s="27" t="str">
        <x:v>BSDF_MULTISTAGE</x:v>
      </x:c>
      <x:c r="C100" s="27" t="str">
        <x:v>ASDF-750</x:v>
      </x:c>
      <x:c r="D100" s="27" t="str">
        <x:v>discharge_motor_kw</x:v>
      </x:c>
      <x:c r="E100" s="27" t="n">
        <x:v>1.5</x:v>
      </x:c>
      <x:c r="F100" s="27" t="str"/>
      <x:c r="G100" s="27" t="str">
        <x:v>kW</x:v>
      </x:c>
      <x:c r="H100" s="27" t="n">
        <x:v>17</x:v>
      </x:c>
      <x:c r="I100" s="48" t="str"/>
    </x:row>
    <x:row r="101">
      <x:c r="A101" s="47" t="str">
        <x:v>BSDF_MULTISTAGE__ASDF-750</x:v>
      </x:c>
      <x:c r="B101" s="27" t="str">
        <x:v>BSDF_MULTISTAGE</x:v>
      </x:c>
      <x:c r="C101" s="27" t="str">
        <x:v>ASDF-750</x:v>
      </x:c>
      <x:c r="D101" s="27" t="str">
        <x:v>blower_motor_kw</x:v>
      </x:c>
      <x:c r="E101" s="27" t="n">
        <x:v>18.5</x:v>
      </x:c>
      <x:c r="F101" s="27" t="str"/>
      <x:c r="G101" s="27" t="str">
        <x:v>kW</x:v>
      </x:c>
      <x:c r="H101" s="27" t="n">
        <x:v>17</x:v>
      </x:c>
      <x:c r="I101" s="48" t="str"/>
    </x:row>
    <x:row r="102">
      <x:c r="A102" s="47" t="str">
        <x:v>BS_ROLLER__AS150-3</x:v>
      </x:c>
      <x:c r="B102" s="27" t="str">
        <x:v>BS_ROLLER</x:v>
      </x:c>
      <x:c r="C102" s="27" t="str">
        <x:v>AS150-3</x:v>
      </x:c>
      <x:c r="D102" s="27" t="str">
        <x:v>roller_diameter_mm</x:v>
      </x:c>
      <x:c r="E102" s="27" t="n">
        <x:v>150</x:v>
      </x:c>
      <x:c r="F102" s="27" t="str"/>
      <x:c r="G102" s="27" t="str">
        <x:v>mm</x:v>
      </x:c>
      <x:c r="H102" s="27" t="n">
        <x:v>18</x:v>
      </x:c>
      <x:c r="I102" s="48" t="str"/>
    </x:row>
    <x:row r="103">
      <x:c r="A103" s="47" t="str">
        <x:v>BS_ROLLER__AS150-3</x:v>
      </x:c>
      <x:c r="B103" s="27" t="str">
        <x:v>BS_ROLLER</x:v>
      </x:c>
      <x:c r="C103" s="27" t="str">
        <x:v>AS150-3</x:v>
      </x:c>
      <x:c r="D103" s="27" t="str">
        <x:v>roller_length_mm</x:v>
      </x:c>
      <x:c r="E103" s="27" t="n">
        <x:v>150</x:v>
      </x:c>
      <x:c r="F103" s="27" t="str"/>
      <x:c r="G103" s="27" t="str">
        <x:v>mm</x:v>
      </x:c>
      <x:c r="H103" s="27" t="n">
        <x:v>18</x:v>
      </x:c>
      <x:c r="I103" s="48" t="str"/>
    </x:row>
    <x:row r="104">
      <x:c r="A104" s="47" t="str">
        <x:v>BS_ROLLER__AS150-3</x:v>
      </x:c>
      <x:c r="B104" s="27" t="str">
        <x:v>BS_ROLLER</x:v>
      </x:c>
      <x:c r="C104" s="27" t="str">
        <x:v>AS150-3</x:v>
      </x:c>
      <x:c r="D104" s="27" t="str">
        <x:v>roller_count</x:v>
      </x:c>
      <x:c r="E104" s="27" t="n">
        <x:v>3</x:v>
      </x:c>
      <x:c r="F104" s="27" t="str"/>
      <x:c r="G104" s="27" t="str">
        <x:v>count</x:v>
      </x:c>
      <x:c r="H104" s="27" t="n">
        <x:v>18</x:v>
      </x:c>
      <x:c r="I104" s="48" t="str"/>
    </x:row>
    <x:row r="105">
      <x:c r="A105" s="47" t="str">
        <x:v>BS_ROLLER__AS150-4</x:v>
      </x:c>
      <x:c r="B105" s="27" t="str">
        <x:v>BS_ROLLER</x:v>
      </x:c>
      <x:c r="C105" s="27" t="str">
        <x:v>AS150-4</x:v>
      </x:c>
      <x:c r="D105" s="27" t="str">
        <x:v>roller_diameter_mm</x:v>
      </x:c>
      <x:c r="E105" s="27" t="n">
        <x:v>150</x:v>
      </x:c>
      <x:c r="F105" s="27" t="str"/>
      <x:c r="G105" s="27" t="str">
        <x:v>mm</x:v>
      </x:c>
      <x:c r="H105" s="27" t="n">
        <x:v>18</x:v>
      </x:c>
      <x:c r="I105" s="48" t="str"/>
    </x:row>
    <x:row r="106">
      <x:c r="A106" s="47" t="str">
        <x:v>BS_ROLLER__AS150-4</x:v>
      </x:c>
      <x:c r="B106" s="27" t="str">
        <x:v>BS_ROLLER</x:v>
      </x:c>
      <x:c r="C106" s="27" t="str">
        <x:v>AS150-4</x:v>
      </x:c>
      <x:c r="D106" s="27" t="str">
        <x:v>roller_length_mm</x:v>
      </x:c>
      <x:c r="E106" s="27" t="n">
        <x:v>150</x:v>
      </x:c>
      <x:c r="F106" s="27" t="str"/>
      <x:c r="G106" s="27" t="str">
        <x:v>mm</x:v>
      </x:c>
      <x:c r="H106" s="27" t="n">
        <x:v>18</x:v>
      </x:c>
      <x:c r="I106" s="48" t="str"/>
    </x:row>
    <x:row r="107">
      <x:c r="A107" s="47" t="str">
        <x:v>BS_ROLLER__AS150-4</x:v>
      </x:c>
      <x:c r="B107" s="27" t="str">
        <x:v>BS_ROLLER</x:v>
      </x:c>
      <x:c r="C107" s="27" t="str">
        <x:v>AS150-4</x:v>
      </x:c>
      <x:c r="D107" s="27" t="str">
        <x:v>roller_count</x:v>
      </x:c>
      <x:c r="E107" s="27" t="n">
        <x:v>4</x:v>
      </x:c>
      <x:c r="F107" s="27" t="str"/>
      <x:c r="G107" s="27" t="str">
        <x:v>count</x:v>
      </x:c>
      <x:c r="H107" s="27" t="n">
        <x:v>18</x:v>
      </x:c>
      <x:c r="I107" s="48" t="str"/>
    </x:row>
    <x:row r="108">
      <x:c r="A108" s="47" t="str">
        <x:v>BS_ROLLER__AS250-3</x:v>
      </x:c>
      <x:c r="B108" s="27" t="str">
        <x:v>BS_ROLLER</x:v>
      </x:c>
      <x:c r="C108" s="27" t="str">
        <x:v>AS250-3</x:v>
      </x:c>
      <x:c r="D108" s="27" t="str">
        <x:v>roller_diameter_mm</x:v>
      </x:c>
      <x:c r="E108" s="27" t="n">
        <x:v>150</x:v>
      </x:c>
      <x:c r="F108" s="27" t="str"/>
      <x:c r="G108" s="27" t="str">
        <x:v>mm</x:v>
      </x:c>
      <x:c r="H108" s="27" t="n">
        <x:v>18</x:v>
      </x:c>
      <x:c r="I108" s="48" t="str"/>
    </x:row>
    <x:row r="109">
      <x:c r="A109" s="47" t="str">
        <x:v>BS_ROLLER__AS250-3</x:v>
      </x:c>
      <x:c r="B109" s="27" t="str">
        <x:v>BS_ROLLER</x:v>
      </x:c>
      <x:c r="C109" s="27" t="str">
        <x:v>AS250-3</x:v>
      </x:c>
      <x:c r="D109" s="27" t="str">
        <x:v>roller_length_mm</x:v>
      </x:c>
      <x:c r="E109" s="27" t="n">
        <x:v>250</x:v>
      </x:c>
      <x:c r="F109" s="27" t="str"/>
      <x:c r="G109" s="27" t="str">
        <x:v>mm</x:v>
      </x:c>
      <x:c r="H109" s="27" t="n">
        <x:v>18</x:v>
      </x:c>
      <x:c r="I109" s="48" t="str"/>
    </x:row>
    <x:row r="110">
      <x:c r="A110" s="47" t="str">
        <x:v>BS_ROLLER__AS250-3</x:v>
      </x:c>
      <x:c r="B110" s="27" t="str">
        <x:v>BS_ROLLER</x:v>
      </x:c>
      <x:c r="C110" s="27" t="str">
        <x:v>AS250-3</x:v>
      </x:c>
      <x:c r="D110" s="27" t="str">
        <x:v>roller_count</x:v>
      </x:c>
      <x:c r="E110" s="27" t="n">
        <x:v>3</x:v>
      </x:c>
      <x:c r="F110" s="27" t="str"/>
      <x:c r="G110" s="27" t="str">
        <x:v>count</x:v>
      </x:c>
      <x:c r="H110" s="27" t="n">
        <x:v>18</x:v>
      </x:c>
      <x:c r="I110" s="48" t="str"/>
    </x:row>
    <x:row r="111">
      <x:c r="A111" s="47" t="str">
        <x:v>BS_ROLLER__AS250-4</x:v>
      </x:c>
      <x:c r="B111" s="27" t="str">
        <x:v>BS_ROLLER</x:v>
      </x:c>
      <x:c r="C111" s="27" t="str">
        <x:v>AS250-4</x:v>
      </x:c>
      <x:c r="D111" s="27" t="str">
        <x:v>roller_diameter_mm</x:v>
      </x:c>
      <x:c r="E111" s="27" t="n">
        <x:v>150</x:v>
      </x:c>
      <x:c r="F111" s="27" t="str"/>
      <x:c r="G111" s="27" t="str">
        <x:v>mm</x:v>
      </x:c>
      <x:c r="H111" s="27" t="n">
        <x:v>18</x:v>
      </x:c>
      <x:c r="I111" s="48" t="str"/>
    </x:row>
    <x:row r="112">
      <x:c r="A112" s="47" t="str">
        <x:v>BS_ROLLER__AS250-4</x:v>
      </x:c>
      <x:c r="B112" s="27" t="str">
        <x:v>BS_ROLLER</x:v>
      </x:c>
      <x:c r="C112" s="27" t="str">
        <x:v>AS250-4</x:v>
      </x:c>
      <x:c r="D112" s="27" t="str">
        <x:v>roller_length_mm</x:v>
      </x:c>
      <x:c r="E112" s="27" t="n">
        <x:v>250</x:v>
      </x:c>
      <x:c r="F112" s="27" t="str"/>
      <x:c r="G112" s="27" t="str">
        <x:v>mm</x:v>
      </x:c>
      <x:c r="H112" s="27" t="n">
        <x:v>18</x:v>
      </x:c>
      <x:c r="I112" s="48" t="str"/>
    </x:row>
    <x:row r="113">
      <x:c r="A113" s="47" t="str">
        <x:v>BS_ROLLER__AS250-4</x:v>
      </x:c>
      <x:c r="B113" s="27" t="str">
        <x:v>BS_ROLLER</x:v>
      </x:c>
      <x:c r="C113" s="27" t="str">
        <x:v>AS250-4</x:v>
      </x:c>
      <x:c r="D113" s="27" t="str">
        <x:v>roller_count</x:v>
      </x:c>
      <x:c r="E113" s="27" t="n">
        <x:v>4</x:v>
      </x:c>
      <x:c r="F113" s="27" t="str"/>
      <x:c r="G113" s="27" t="str">
        <x:v>count</x:v>
      </x:c>
      <x:c r="H113" s="27" t="n">
        <x:v>18</x:v>
      </x:c>
      <x:c r="I113" s="48" t="str"/>
    </x:row>
    <x:row r="114">
      <x:c r="A114" s="47" t="str">
        <x:v>BS_ROLLER__AS500-3</x:v>
      </x:c>
      <x:c r="B114" s="27" t="str">
        <x:v>BS_ROLLER</x:v>
      </x:c>
      <x:c r="C114" s="27" t="str">
        <x:v>AS500-3</x:v>
      </x:c>
      <x:c r="D114" s="27" t="str">
        <x:v>roller_diameter_mm</x:v>
      </x:c>
      <x:c r="E114" s="27" t="n">
        <x:v>219</x:v>
      </x:c>
      <x:c r="F114" s="27" t="str"/>
      <x:c r="G114" s="27" t="str">
        <x:v>mm</x:v>
      </x:c>
      <x:c r="H114" s="27" t="n">
        <x:v>18</x:v>
      </x:c>
      <x:c r="I114" s="48" t="str"/>
    </x:row>
    <x:row r="115">
      <x:c r="A115" s="47" t="str">
        <x:v>BS_ROLLER__AS500-3</x:v>
      </x:c>
      <x:c r="B115" s="27" t="str">
        <x:v>BS_ROLLER</x:v>
      </x:c>
      <x:c r="C115" s="27" t="str">
        <x:v>AS500-3</x:v>
      </x:c>
      <x:c r="D115" s="27" t="str">
        <x:v>roller_length_mm</x:v>
      </x:c>
      <x:c r="E115" s="27" t="n">
        <x:v>500</x:v>
      </x:c>
      <x:c r="F115" s="27" t="str"/>
      <x:c r="G115" s="27" t="str">
        <x:v>mm</x:v>
      </x:c>
      <x:c r="H115" s="27" t="n">
        <x:v>18</x:v>
      </x:c>
      <x:c r="I115" s="48" t="str"/>
    </x:row>
    <x:row r="116">
      <x:c r="A116" s="47" t="str">
        <x:v>BS_ROLLER__AS500-3</x:v>
      </x:c>
      <x:c r="B116" s="27" t="str">
        <x:v>BS_ROLLER</x:v>
      </x:c>
      <x:c r="C116" s="27" t="str">
        <x:v>AS500-3</x:v>
      </x:c>
      <x:c r="D116" s="27" t="str">
        <x:v>roller_count</x:v>
      </x:c>
      <x:c r="E116" s="27" t="n">
        <x:v>3</x:v>
      </x:c>
      <x:c r="F116" s="27" t="str"/>
      <x:c r="G116" s="27" t="str">
        <x:v>count</x:v>
      </x:c>
      <x:c r="H116" s="27" t="n">
        <x:v>18</x:v>
      </x:c>
      <x:c r="I116" s="48" t="str"/>
    </x:row>
    <x:row r="117">
      <x:c r="A117" s="47" t="str">
        <x:v>BS_ROLLER__AS500-4</x:v>
      </x:c>
      <x:c r="B117" s="27" t="str">
        <x:v>BS_ROLLER</x:v>
      </x:c>
      <x:c r="C117" s="27" t="str">
        <x:v>AS500-4</x:v>
      </x:c>
      <x:c r="D117" s="27" t="str">
        <x:v>roller_diameter_mm</x:v>
      </x:c>
      <x:c r="E117" s="27" t="n">
        <x:v>219</x:v>
      </x:c>
      <x:c r="F117" s="27" t="str"/>
      <x:c r="G117" s="27" t="str">
        <x:v>mm</x:v>
      </x:c>
      <x:c r="H117" s="27" t="n">
        <x:v>18</x:v>
      </x:c>
      <x:c r="I117" s="48" t="str"/>
    </x:row>
    <x:row r="118">
      <x:c r="A118" s="47" t="str">
        <x:v>BS_ROLLER__AS500-4</x:v>
      </x:c>
      <x:c r="B118" s="27" t="str">
        <x:v>BS_ROLLER</x:v>
      </x:c>
      <x:c r="C118" s="27" t="str">
        <x:v>AS500-4</x:v>
      </x:c>
      <x:c r="D118" s="27" t="str">
        <x:v>roller_length_mm</x:v>
      </x:c>
      <x:c r="E118" s="27" t="n">
        <x:v>500</x:v>
      </x:c>
      <x:c r="F118" s="27" t="str"/>
      <x:c r="G118" s="27" t="str">
        <x:v>mm</x:v>
      </x:c>
      <x:c r="H118" s="27" t="n">
        <x:v>18</x:v>
      </x:c>
      <x:c r="I118" s="48" t="str"/>
    </x:row>
    <x:row r="119">
      <x:c r="A119" s="47" t="str">
        <x:v>BS_ROLLER__AS500-4</x:v>
      </x:c>
      <x:c r="B119" s="27" t="str">
        <x:v>BS_ROLLER</x:v>
      </x:c>
      <x:c r="C119" s="27" t="str">
        <x:v>AS500-4</x:v>
      </x:c>
      <x:c r="D119" s="27" t="str">
        <x:v>roller_count</x:v>
      </x:c>
      <x:c r="E119" s="27" t="n">
        <x:v>4</x:v>
      </x:c>
      <x:c r="F119" s="27" t="str"/>
      <x:c r="G119" s="27" t="str">
        <x:v>count</x:v>
      </x:c>
      <x:c r="H119" s="27" t="n">
        <x:v>18</x:v>
      </x:c>
      <x:c r="I119" s="48" t="str"/>
    </x:row>
    <x:row r="120">
      <x:c r="A120" s="47" t="str">
        <x:v>BSK_JET__ASK-100</x:v>
      </x:c>
      <x:c r="B120" s="27" t="str">
        <x:v>BSK_JET</x:v>
      </x:c>
      <x:c r="C120" s="27" t="str">
        <x:v>ASK-100</x:v>
      </x:c>
      <x:c r="D120" s="27" t="str">
        <x:v>compressed_air_consumption_source_value</x:v>
      </x:c>
      <x:c r="E120" s="27" t="n">
        <x:v>3</x:v>
      </x:c>
      <x:c r="F120" s="27" t="str"/>
      <x:c r="G120" s="27" t="str">
        <x:v>m3/s</x:v>
      </x:c>
      <x:c r="H120" s="27" t="n">
        <x:v>19</x:v>
      </x:c>
      <x:c r="I120" s="48" t="str">
        <x:v>Cần xác minh đơn vị trước khi dùng tính toán.</x:v>
      </x:c>
    </x:row>
    <x:row r="121">
      <x:c r="A121" s="47" t="str">
        <x:v>BSK_JET__ASK-100</x:v>
      </x:c>
      <x:c r="B121" s="27" t="str">
        <x:v>BSK_JET</x:v>
      </x:c>
      <x:c r="C121" s="27" t="str">
        <x:v>ASK-100</x:v>
      </x:c>
      <x:c r="D121" s="27" t="str">
        <x:v>compressed_air_consumption_source_unit</x:v>
      </x:c>
      <x:c r="E121" s="27"/>
      <x:c r="F121" s="27" t="str">
        <x:v>m3/s</x:v>
      </x:c>
      <x:c r="G121" s="27" t="str"/>
      <x:c r="H121" s="27" t="n">
        <x:v>19</x:v>
      </x:c>
      <x:c r="I121" s="48" t="str"/>
    </x:row>
    <x:row r="122">
      <x:c r="A122" s="47" t="str">
        <x:v>BSK_JET__ASK-100</x:v>
      </x:c>
      <x:c r="B122" s="27" t="str">
        <x:v>BSK_JET</x:v>
      </x:c>
      <x:c r="C122" s="27" t="str">
        <x:v>ASK-100</x:v>
      </x:c>
      <x:c r="D122" s="27" t="str">
        <x:v>pressure_mpa_min</x:v>
      </x:c>
      <x:c r="E122" s="27" t="n">
        <x:v>0.75</x:v>
      </x:c>
      <x:c r="F122" s="27" t="str"/>
      <x:c r="G122" s="27" t="str">
        <x:v>MPa</x:v>
      </x:c>
      <x:c r="H122" s="27" t="n">
        <x:v>19</x:v>
      </x:c>
      <x:c r="I122" s="48" t="str"/>
    </x:row>
    <x:row r="123">
      <x:c r="A123" s="47" t="str">
        <x:v>BSK_JET__ASK-100</x:v>
      </x:c>
      <x:c r="B123" s="27" t="str">
        <x:v>BSK_JET</x:v>
      </x:c>
      <x:c r="C123" s="27" t="str">
        <x:v>ASK-100</x:v>
      </x:c>
      <x:c r="D123" s="27" t="str">
        <x:v>pressure_mpa_max</x:v>
      </x:c>
      <x:c r="E123" s="27" t="n">
        <x:v>0.85</x:v>
      </x:c>
      <x:c r="F123" s="27" t="str"/>
      <x:c r="G123" s="27" t="str">
        <x:v>MPa</x:v>
      </x:c>
      <x:c r="H123" s="27" t="n">
        <x:v>19</x:v>
      </x:c>
      <x:c r="I123" s="48" t="str"/>
    </x:row>
    <x:row r="124">
      <x:c r="A124" s="47" t="str">
        <x:v>BSK_JET__ASK-100</x:v>
      </x:c>
      <x:c r="B124" s="27" t="str">
        <x:v>BSK_JET</x:v>
      </x:c>
      <x:c r="C124" s="27" t="str">
        <x:v>ASK-100</x:v>
      </x:c>
      <x:c r="D124" s="27" t="str">
        <x:v>electrical_consumption_kw</x:v>
      </x:c>
      <x:c r="E124" s="27" t="n">
        <x:v>20</x:v>
      </x:c>
      <x:c r="F124" s="27" t="str"/>
      <x:c r="G124" s="27" t="str">
        <x:v>kW</x:v>
      </x:c>
      <x:c r="H124" s="27" t="n">
        <x:v>19</x:v>
      </x:c>
      <x:c r="I124" s="48" t="str"/>
    </x:row>
    <x:row r="125">
      <x:c r="A125" s="47" t="str">
        <x:v>BSK_JET__ASK-100</x:v>
      </x:c>
      <x:c r="B125" s="27" t="str">
        <x:v>BSK_JET</x:v>
      </x:c>
      <x:c r="C125" s="27" t="str">
        <x:v>ASK-100</x:v>
      </x:c>
      <x:c r="D125" s="27" t="str">
        <x:v>needs_verification</x:v>
      </x:c>
      <x:c r="E125" s="27"/>
      <x:c r="F125" s="27" t="str">
        <x:v>air_consumption_unit</x:v>
      </x:c>
      <x:c r="G125" s="27" t="str"/>
      <x:c r="H125" s="27" t="n">
        <x:v>19</x:v>
      </x:c>
      <x:c r="I125" s="48" t="str"/>
    </x:row>
    <x:row r="126">
      <x:c r="A126" s="47" t="str">
        <x:v>BSK_JET__ASK-200</x:v>
      </x:c>
      <x:c r="B126" s="27" t="str">
        <x:v>BSK_JET</x:v>
      </x:c>
      <x:c r="C126" s="27" t="str">
        <x:v>ASK-200</x:v>
      </x:c>
      <x:c r="D126" s="27" t="str">
        <x:v>compressed_air_consumption_source_value</x:v>
      </x:c>
      <x:c r="E126" s="27" t="n">
        <x:v>4.5</x:v>
      </x:c>
      <x:c r="F126" s="27" t="str"/>
      <x:c r="G126" s="27" t="str">
        <x:v>m3/s</x:v>
      </x:c>
      <x:c r="H126" s="27" t="n">
        <x:v>19</x:v>
      </x:c>
      <x:c r="I126" s="48" t="str">
        <x:v>Cần xác minh đơn vị trước khi dùng tính toán.</x:v>
      </x:c>
    </x:row>
    <x:row r="127">
      <x:c r="A127" s="47" t="str">
        <x:v>BSK_JET__ASK-200</x:v>
      </x:c>
      <x:c r="B127" s="27" t="str">
        <x:v>BSK_JET</x:v>
      </x:c>
      <x:c r="C127" s="27" t="str">
        <x:v>ASK-200</x:v>
      </x:c>
      <x:c r="D127" s="27" t="str">
        <x:v>compressed_air_consumption_source_unit</x:v>
      </x:c>
      <x:c r="E127" s="27"/>
      <x:c r="F127" s="27" t="str">
        <x:v>m3/s</x:v>
      </x:c>
      <x:c r="G127" s="27" t="str"/>
      <x:c r="H127" s="27" t="n">
        <x:v>19</x:v>
      </x:c>
      <x:c r="I127" s="48" t="str"/>
    </x:row>
    <x:row r="128">
      <x:c r="A128" s="47" t="str">
        <x:v>BSK_JET__ASK-200</x:v>
      </x:c>
      <x:c r="B128" s="27" t="str">
        <x:v>BSK_JET</x:v>
      </x:c>
      <x:c r="C128" s="27" t="str">
        <x:v>ASK-200</x:v>
      </x:c>
      <x:c r="D128" s="27" t="str">
        <x:v>pressure_mpa_min</x:v>
      </x:c>
      <x:c r="E128" s="27" t="n">
        <x:v>0.75</x:v>
      </x:c>
      <x:c r="F128" s="27" t="str"/>
      <x:c r="G128" s="27" t="str">
        <x:v>MPa</x:v>
      </x:c>
      <x:c r="H128" s="27" t="n">
        <x:v>19</x:v>
      </x:c>
      <x:c r="I128" s="48" t="str"/>
    </x:row>
    <x:row r="129">
      <x:c r="A129" s="47" t="str">
        <x:v>BSK_JET__ASK-200</x:v>
      </x:c>
      <x:c r="B129" s="27" t="str">
        <x:v>BSK_JET</x:v>
      </x:c>
      <x:c r="C129" s="27" t="str">
        <x:v>ASK-200</x:v>
      </x:c>
      <x:c r="D129" s="27" t="str">
        <x:v>pressure_mpa_max</x:v>
      </x:c>
      <x:c r="E129" s="27" t="n">
        <x:v>0.85</x:v>
      </x:c>
      <x:c r="F129" s="27" t="str"/>
      <x:c r="G129" s="27" t="str">
        <x:v>MPa</x:v>
      </x:c>
      <x:c r="H129" s="27" t="n">
        <x:v>19</x:v>
      </x:c>
      <x:c r="I129" s="48" t="str"/>
    </x:row>
    <x:row r="130">
      <x:c r="A130" s="47" t="str">
        <x:v>BSK_JET__ASK-200</x:v>
      </x:c>
      <x:c r="B130" s="27" t="str">
        <x:v>BSK_JET</x:v>
      </x:c>
      <x:c r="C130" s="27" t="str">
        <x:v>ASK-200</x:v>
      </x:c>
      <x:c r="D130" s="27" t="str">
        <x:v>electrical_consumption_kw</x:v>
      </x:c>
      <x:c r="E130" s="27" t="n">
        <x:v>40</x:v>
      </x:c>
      <x:c r="F130" s="27" t="str"/>
      <x:c r="G130" s="27" t="str">
        <x:v>kW</x:v>
      </x:c>
      <x:c r="H130" s="27" t="n">
        <x:v>19</x:v>
      </x:c>
      <x:c r="I130" s="48" t="str"/>
    </x:row>
    <x:row r="131">
      <x:c r="A131" s="47" t="str">
        <x:v>BSK_JET__ASK-200</x:v>
      </x:c>
      <x:c r="B131" s="27" t="str">
        <x:v>BSK_JET</x:v>
      </x:c>
      <x:c r="C131" s="27" t="str">
        <x:v>ASK-200</x:v>
      </x:c>
      <x:c r="D131" s="27" t="str">
        <x:v>needs_verification</x:v>
      </x:c>
      <x:c r="E131" s="27"/>
      <x:c r="F131" s="27" t="str">
        <x:v>air_consumption_unit</x:v>
      </x:c>
      <x:c r="G131" s="27" t="str"/>
      <x:c r="H131" s="27" t="n">
        <x:v>19</x:v>
      </x:c>
      <x:c r="I131" s="48" t="str"/>
    </x:row>
    <x:row r="132">
      <x:c r="A132" s="47" t="str">
        <x:v>BSK_JET__ASK-300</x:v>
      </x:c>
      <x:c r="B132" s="27" t="str">
        <x:v>BSK_JET</x:v>
      </x:c>
      <x:c r="C132" s="27" t="str">
        <x:v>ASK-300</x:v>
      </x:c>
      <x:c r="D132" s="27" t="str">
        <x:v>compressed_air_consumption_source_value</x:v>
      </x:c>
      <x:c r="E132" s="27" t="n">
        <x:v>6</x:v>
      </x:c>
      <x:c r="F132" s="27" t="str"/>
      <x:c r="G132" s="27" t="str">
        <x:v>m3/s</x:v>
      </x:c>
      <x:c r="H132" s="27" t="n">
        <x:v>19</x:v>
      </x:c>
      <x:c r="I132" s="48" t="str">
        <x:v>Cần xác minh đơn vị trước khi dùng tính toán.</x:v>
      </x:c>
    </x:row>
    <x:row r="133">
      <x:c r="A133" s="47" t="str">
        <x:v>BSK_JET__ASK-300</x:v>
      </x:c>
      <x:c r="B133" s="27" t="str">
        <x:v>BSK_JET</x:v>
      </x:c>
      <x:c r="C133" s="27" t="str">
        <x:v>ASK-300</x:v>
      </x:c>
      <x:c r="D133" s="27" t="str">
        <x:v>compressed_air_consumption_source_unit</x:v>
      </x:c>
      <x:c r="E133" s="27"/>
      <x:c r="F133" s="27" t="str">
        <x:v>m3/s</x:v>
      </x:c>
      <x:c r="G133" s="27" t="str"/>
      <x:c r="H133" s="27" t="n">
        <x:v>19</x:v>
      </x:c>
      <x:c r="I133" s="48" t="str"/>
    </x:row>
    <x:row r="134">
      <x:c r="A134" s="47" t="str">
        <x:v>BSK_JET__ASK-300</x:v>
      </x:c>
      <x:c r="B134" s="27" t="str">
        <x:v>BSK_JET</x:v>
      </x:c>
      <x:c r="C134" s="27" t="str">
        <x:v>ASK-300</x:v>
      </x:c>
      <x:c r="D134" s="27" t="str">
        <x:v>pressure_mpa_min</x:v>
      </x:c>
      <x:c r="E134" s="27" t="n">
        <x:v>0.75</x:v>
      </x:c>
      <x:c r="F134" s="27" t="str"/>
      <x:c r="G134" s="27" t="str">
        <x:v>MPa</x:v>
      </x:c>
      <x:c r="H134" s="27" t="n">
        <x:v>19</x:v>
      </x:c>
      <x:c r="I134" s="48" t="str"/>
    </x:row>
    <x:row r="135">
      <x:c r="A135" s="47" t="str">
        <x:v>BSK_JET__ASK-300</x:v>
      </x:c>
      <x:c r="B135" s="27" t="str">
        <x:v>BSK_JET</x:v>
      </x:c>
      <x:c r="C135" s="27" t="str">
        <x:v>ASK-300</x:v>
      </x:c>
      <x:c r="D135" s="27" t="str">
        <x:v>pressure_mpa_max</x:v>
      </x:c>
      <x:c r="E135" s="27" t="n">
        <x:v>0.85</x:v>
      </x:c>
      <x:c r="F135" s="27" t="str"/>
      <x:c r="G135" s="27" t="str">
        <x:v>MPa</x:v>
      </x:c>
      <x:c r="H135" s="27" t="n">
        <x:v>19</x:v>
      </x:c>
      <x:c r="I135" s="48" t="str"/>
    </x:row>
    <x:row r="136">
      <x:c r="A136" s="47" t="str">
        <x:v>BSK_JET__ASK-300</x:v>
      </x:c>
      <x:c r="B136" s="27" t="str">
        <x:v>BSK_JET</x:v>
      </x:c>
      <x:c r="C136" s="27" t="str">
        <x:v>ASK-300</x:v>
      </x:c>
      <x:c r="D136" s="27" t="str">
        <x:v>electrical_consumption_kw</x:v>
      </x:c>
      <x:c r="E136" s="27" t="n">
        <x:v>95</x:v>
      </x:c>
      <x:c r="F136" s="27" t="str"/>
      <x:c r="G136" s="27" t="str">
        <x:v>kW</x:v>
      </x:c>
      <x:c r="H136" s="27" t="n">
        <x:v>19</x:v>
      </x:c>
      <x:c r="I136" s="48" t="str"/>
    </x:row>
    <x:row r="137">
      <x:c r="A137" s="47" t="str">
        <x:v>BSK_JET__ASK-300</x:v>
      </x:c>
      <x:c r="B137" s="27" t="str">
        <x:v>BSK_JET</x:v>
      </x:c>
      <x:c r="C137" s="27" t="str">
        <x:v>ASK-300</x:v>
      </x:c>
      <x:c r="D137" s="27" t="str">
        <x:v>needs_verification</x:v>
      </x:c>
      <x:c r="E137" s="27"/>
      <x:c r="F137" s="27" t="str">
        <x:v>air_consumption_unit</x:v>
      </x:c>
      <x:c r="G137" s="27" t="str"/>
      <x:c r="H137" s="27" t="n">
        <x:v>19</x:v>
      </x:c>
      <x:c r="I137" s="48" t="str"/>
    </x:row>
    <x:row r="138">
      <x:c r="A138" s="47" t="str">
        <x:v>BSK_JET__ASK-400</x:v>
      </x:c>
      <x:c r="B138" s="27" t="str">
        <x:v>BSK_JET</x:v>
      </x:c>
      <x:c r="C138" s="27" t="str">
        <x:v>ASK-400</x:v>
      </x:c>
      <x:c r="D138" s="27" t="str">
        <x:v>compressed_air_consumption_source_value</x:v>
      </x:c>
      <x:c r="E138" s="27" t="n">
        <x:v>10</x:v>
      </x:c>
      <x:c r="F138" s="27" t="str"/>
      <x:c r="G138" s="27" t="str">
        <x:v>m3/s</x:v>
      </x:c>
      <x:c r="H138" s="27" t="n">
        <x:v>19</x:v>
      </x:c>
      <x:c r="I138" s="48" t="str">
        <x:v>Cần xác minh đơn vị trước khi dùng tính toán.</x:v>
      </x:c>
    </x:row>
    <x:row r="139">
      <x:c r="A139" s="47" t="str">
        <x:v>BSK_JET__ASK-400</x:v>
      </x:c>
      <x:c r="B139" s="27" t="str">
        <x:v>BSK_JET</x:v>
      </x:c>
      <x:c r="C139" s="27" t="str">
        <x:v>ASK-400</x:v>
      </x:c>
      <x:c r="D139" s="27" t="str">
        <x:v>compressed_air_consumption_source_unit</x:v>
      </x:c>
      <x:c r="E139" s="27"/>
      <x:c r="F139" s="27" t="str">
        <x:v>m3/s</x:v>
      </x:c>
      <x:c r="G139" s="27" t="str"/>
      <x:c r="H139" s="27" t="n">
        <x:v>19</x:v>
      </x:c>
      <x:c r="I139" s="48" t="str"/>
    </x:row>
    <x:row r="140">
      <x:c r="A140" s="47" t="str">
        <x:v>BSK_JET__ASK-400</x:v>
      </x:c>
      <x:c r="B140" s="27" t="str">
        <x:v>BSK_JET</x:v>
      </x:c>
      <x:c r="C140" s="27" t="str">
        <x:v>ASK-400</x:v>
      </x:c>
      <x:c r="D140" s="27" t="str">
        <x:v>pressure_mpa_min</x:v>
      </x:c>
      <x:c r="E140" s="27" t="n">
        <x:v>0.75</x:v>
      </x:c>
      <x:c r="F140" s="27" t="str"/>
      <x:c r="G140" s="27" t="str">
        <x:v>MPa</x:v>
      </x:c>
      <x:c r="H140" s="27" t="n">
        <x:v>19</x:v>
      </x:c>
      <x:c r="I140" s="48" t="str"/>
    </x:row>
    <x:row r="141">
      <x:c r="A141" s="47" t="str">
        <x:v>BSK_JET__ASK-400</x:v>
      </x:c>
      <x:c r="B141" s="27" t="str">
        <x:v>BSK_JET</x:v>
      </x:c>
      <x:c r="C141" s="27" t="str">
        <x:v>ASK-400</x:v>
      </x:c>
      <x:c r="D141" s="27" t="str">
        <x:v>pressure_mpa_max</x:v>
      </x:c>
      <x:c r="E141" s="27" t="n">
        <x:v>0.85</x:v>
      </x:c>
      <x:c r="F141" s="27" t="str"/>
      <x:c r="G141" s="27" t="str">
        <x:v>MPa</x:v>
      </x:c>
      <x:c r="H141" s="27" t="n">
        <x:v>19</x:v>
      </x:c>
      <x:c r="I141" s="48" t="str"/>
    </x:row>
    <x:row r="142">
      <x:c r="A142" s="47" t="str">
        <x:v>BSK_JET__ASK-400</x:v>
      </x:c>
      <x:c r="B142" s="27" t="str">
        <x:v>BSK_JET</x:v>
      </x:c>
      <x:c r="C142" s="27" t="str">
        <x:v>ASK-400</x:v>
      </x:c>
      <x:c r="D142" s="27" t="str">
        <x:v>electrical_consumption_kw</x:v>
      </x:c>
      <x:c r="E142" s="27" t="n">
        <x:v>95</x:v>
      </x:c>
      <x:c r="F142" s="27" t="str"/>
      <x:c r="G142" s="27" t="str">
        <x:v>kW</x:v>
      </x:c>
      <x:c r="H142" s="27" t="n">
        <x:v>19</x:v>
      </x:c>
      <x:c r="I142" s="48" t="str"/>
    </x:row>
    <x:row r="143">
      <x:c r="A143" s="47" t="str">
        <x:v>BSK_JET__ASK-400</x:v>
      </x:c>
      <x:c r="B143" s="27" t="str">
        <x:v>BSK_JET</x:v>
      </x:c>
      <x:c r="C143" s="27" t="str">
        <x:v>ASK-400</x:v>
      </x:c>
      <x:c r="D143" s="27" t="str">
        <x:v>needs_verification</x:v>
      </x:c>
      <x:c r="E143" s="27"/>
      <x:c r="F143" s="27" t="str">
        <x:v>air_consumption_unit</x:v>
      </x:c>
      <x:c r="G143" s="27" t="str"/>
      <x:c r="H143" s="27" t="n">
        <x:v>19</x:v>
      </x:c>
      <x:c r="I143" s="48" t="str"/>
    </x:row>
    <x:row r="144">
      <x:c r="A144" s="47" t="str">
        <x:v>BSK_JET__ASK-600</x:v>
      </x:c>
      <x:c r="B144" s="27" t="str">
        <x:v>BSK_JET</x:v>
      </x:c>
      <x:c r="C144" s="27" t="str">
        <x:v>ASK-600</x:v>
      </x:c>
      <x:c r="D144" s="27" t="str">
        <x:v>compressed_air_consumption_source_value</x:v>
      </x:c>
      <x:c r="E144" s="27" t="n">
        <x:v>20</x:v>
      </x:c>
      <x:c r="F144" s="27" t="str"/>
      <x:c r="G144" s="27" t="str">
        <x:v>m3/s</x:v>
      </x:c>
      <x:c r="H144" s="27" t="n">
        <x:v>19</x:v>
      </x:c>
      <x:c r="I144" s="48" t="str">
        <x:v>Cần xác minh đơn vị trước khi dùng tính toán.</x:v>
      </x:c>
    </x:row>
    <x:row r="145">
      <x:c r="A145" s="47" t="str">
        <x:v>BSK_JET__ASK-600</x:v>
      </x:c>
      <x:c r="B145" s="27" t="str">
        <x:v>BSK_JET</x:v>
      </x:c>
      <x:c r="C145" s="27" t="str">
        <x:v>ASK-600</x:v>
      </x:c>
      <x:c r="D145" s="27" t="str">
        <x:v>compressed_air_consumption_source_unit</x:v>
      </x:c>
      <x:c r="E145" s="27"/>
      <x:c r="F145" s="27" t="str">
        <x:v>m3/s</x:v>
      </x:c>
      <x:c r="G145" s="27" t="str"/>
      <x:c r="H145" s="27" t="n">
        <x:v>19</x:v>
      </x:c>
      <x:c r="I145" s="48" t="str"/>
    </x:row>
    <x:row r="146">
      <x:c r="A146" s="47" t="str">
        <x:v>BSK_JET__ASK-600</x:v>
      </x:c>
      <x:c r="B146" s="27" t="str">
        <x:v>BSK_JET</x:v>
      </x:c>
      <x:c r="C146" s="27" t="str">
        <x:v>ASK-600</x:v>
      </x:c>
      <x:c r="D146" s="27" t="str">
        <x:v>pressure_mpa_min</x:v>
      </x:c>
      <x:c r="E146" s="27" t="n">
        <x:v>0.75</x:v>
      </x:c>
      <x:c r="F146" s="27" t="str"/>
      <x:c r="G146" s="27" t="str">
        <x:v>MPa</x:v>
      </x:c>
      <x:c r="H146" s="27" t="n">
        <x:v>19</x:v>
      </x:c>
      <x:c r="I146" s="48" t="str"/>
    </x:row>
    <x:row r="147">
      <x:c r="A147" s="47" t="str">
        <x:v>BSK_JET__ASK-600</x:v>
      </x:c>
      <x:c r="B147" s="27" t="str">
        <x:v>BSK_JET</x:v>
      </x:c>
      <x:c r="C147" s="27" t="str">
        <x:v>ASK-600</x:v>
      </x:c>
      <x:c r="D147" s="27" t="str">
        <x:v>pressure_mpa_max</x:v>
      </x:c>
      <x:c r="E147" s="27" t="n">
        <x:v>0.85</x:v>
      </x:c>
      <x:c r="F147" s="27" t="str"/>
      <x:c r="G147" s="27" t="str">
        <x:v>MPa</x:v>
      </x:c>
      <x:c r="H147" s="27" t="n">
        <x:v>19</x:v>
      </x:c>
      <x:c r="I147" s="48" t="str"/>
    </x:row>
    <x:row r="148">
      <x:c r="A148" s="47" t="str">
        <x:v>BSK_JET__ASK-600</x:v>
      </x:c>
      <x:c r="B148" s="27" t="str">
        <x:v>BSK_JET</x:v>
      </x:c>
      <x:c r="C148" s="27" t="str">
        <x:v>ASK-600</x:v>
      </x:c>
      <x:c r="D148" s="27" t="str">
        <x:v>electrical_consumption_kw</x:v>
      </x:c>
      <x:c r="E148" s="27" t="n">
        <x:v>188</x:v>
      </x:c>
      <x:c r="F148" s="27" t="str"/>
      <x:c r="G148" s="27" t="str">
        <x:v>kW</x:v>
      </x:c>
      <x:c r="H148" s="27" t="n">
        <x:v>19</x:v>
      </x:c>
      <x:c r="I148" s="48" t="str"/>
    </x:row>
    <x:row r="149">
      <x:c r="A149" s="47" t="str">
        <x:v>BSK_JET__ASK-600</x:v>
      </x:c>
      <x:c r="B149" s="27" t="str">
        <x:v>BSK_JET</x:v>
      </x:c>
      <x:c r="C149" s="27" t="str">
        <x:v>ASK-600</x:v>
      </x:c>
      <x:c r="D149" s="27" t="str">
        <x:v>needs_verification</x:v>
      </x:c>
      <x:c r="E149" s="27"/>
      <x:c r="F149" s="27" t="str">
        <x:v>air_consumption_unit</x:v>
      </x:c>
      <x:c r="G149" s="27" t="str"/>
      <x:c r="H149" s="27" t="n">
        <x:v>19</x:v>
      </x:c>
      <x:c r="I149" s="48" t="str"/>
    </x:row>
    <x:row r="150">
      <x:c r="A150" s="47" t="str">
        <x:v>BSK_JET__ASK-800</x:v>
      </x:c>
      <x:c r="B150" s="27" t="str">
        <x:v>BSK_JET</x:v>
      </x:c>
      <x:c r="C150" s="27" t="str">
        <x:v>ASK-800</x:v>
      </x:c>
      <x:c r="D150" s="27" t="str">
        <x:v>compressed_air_consumption_source_value</x:v>
      </x:c>
      <x:c r="E150" s="27" t="n">
        <x:v>40</x:v>
      </x:c>
      <x:c r="F150" s="27" t="str"/>
      <x:c r="G150" s="27" t="str">
        <x:v>m3/s</x:v>
      </x:c>
      <x:c r="H150" s="27" t="n">
        <x:v>19</x:v>
      </x:c>
      <x:c r="I150" s="48" t="str">
        <x:v>Cần xác minh đơn vị trước khi dùng tính toán.</x:v>
      </x:c>
    </x:row>
    <x:row r="151">
      <x:c r="A151" s="47" t="str">
        <x:v>BSK_JET__ASK-800</x:v>
      </x:c>
      <x:c r="B151" s="27" t="str">
        <x:v>BSK_JET</x:v>
      </x:c>
      <x:c r="C151" s="27" t="str">
        <x:v>ASK-800</x:v>
      </x:c>
      <x:c r="D151" s="27" t="str">
        <x:v>compressed_air_consumption_source_unit</x:v>
      </x:c>
      <x:c r="E151" s="27"/>
      <x:c r="F151" s="27" t="str">
        <x:v>m3/s</x:v>
      </x:c>
      <x:c r="G151" s="27" t="str"/>
      <x:c r="H151" s="27" t="n">
        <x:v>19</x:v>
      </x:c>
      <x:c r="I151" s="48" t="str"/>
    </x:row>
    <x:row r="152">
      <x:c r="A152" s="47" t="str">
        <x:v>BSK_JET__ASK-800</x:v>
      </x:c>
      <x:c r="B152" s="27" t="str">
        <x:v>BSK_JET</x:v>
      </x:c>
      <x:c r="C152" s="27" t="str">
        <x:v>ASK-800</x:v>
      </x:c>
      <x:c r="D152" s="27" t="str">
        <x:v>pressure_mpa_min</x:v>
      </x:c>
      <x:c r="E152" s="27" t="n">
        <x:v>0.75</x:v>
      </x:c>
      <x:c r="F152" s="27" t="str"/>
      <x:c r="G152" s="27" t="str">
        <x:v>MPa</x:v>
      </x:c>
      <x:c r="H152" s="27" t="n">
        <x:v>19</x:v>
      </x:c>
      <x:c r="I152" s="48" t="str"/>
    </x:row>
    <x:row r="153">
      <x:c r="A153" s="47" t="str">
        <x:v>BSK_JET__ASK-800</x:v>
      </x:c>
      <x:c r="B153" s="27" t="str">
        <x:v>BSK_JET</x:v>
      </x:c>
      <x:c r="C153" s="27" t="str">
        <x:v>ASK-800</x:v>
      </x:c>
      <x:c r="D153" s="27" t="str">
        <x:v>pressure_mpa_max</x:v>
      </x:c>
      <x:c r="E153" s="27" t="n">
        <x:v>0.85</x:v>
      </x:c>
      <x:c r="F153" s="27" t="str"/>
      <x:c r="G153" s="27" t="str">
        <x:v>MPa</x:v>
      </x:c>
      <x:c r="H153" s="27" t="n">
        <x:v>19</x:v>
      </x:c>
      <x:c r="I153" s="48" t="str"/>
    </x:row>
    <x:row r="154">
      <x:c r="A154" s="47" t="str">
        <x:v>BSK_JET__ASK-800</x:v>
      </x:c>
      <x:c r="B154" s="27" t="str">
        <x:v>BSK_JET</x:v>
      </x:c>
      <x:c r="C154" s="27" t="str">
        <x:v>ASK-800</x:v>
      </x:c>
      <x:c r="D154" s="27" t="str">
        <x:v>electrical_consumption_kw</x:v>
      </x:c>
      <x:c r="E154" s="27" t="n">
        <x:v>380</x:v>
      </x:c>
      <x:c r="F154" s="27" t="str"/>
      <x:c r="G154" s="27" t="str">
        <x:v>kW</x:v>
      </x:c>
      <x:c r="H154" s="27" t="n">
        <x:v>19</x:v>
      </x:c>
      <x:c r="I154" s="48" t="str"/>
    </x:row>
    <x:row r="155">
      <x:c r="A155" s="47" t="str">
        <x:v>BSK_JET__ASK-800</x:v>
      </x:c>
      <x:c r="B155" s="27" t="str">
        <x:v>BSK_JET</x:v>
      </x:c>
      <x:c r="C155" s="27" t="str">
        <x:v>ASK-800</x:v>
      </x:c>
      <x:c r="D155" s="27" t="str">
        <x:v>needs_verification</x:v>
      </x:c>
      <x:c r="E155" s="27"/>
      <x:c r="F155" s="27" t="str">
        <x:v>air_consumption_unit</x:v>
      </x:c>
      <x:c r="G155" s="27" t="str"/>
      <x:c r="H155" s="27" t="n">
        <x:v>19</x:v>
      </x:c>
      <x:c r="I155" s="48" t="str"/>
    </x:row>
    <x:row r="156">
      <x:c r="A156" s="47" t="str">
        <x:v>BS_CRYOGENIC__AS-200</x:v>
      </x:c>
      <x:c r="B156" s="27" t="str">
        <x:v>BS_CRYOGENIC</x:v>
      </x:c>
      <x:c r="C156" s="27" t="str">
        <x:v>AS-200</x:v>
      </x:c>
      <x:c r="D156" s="27" t="str">
        <x:v>grinding_chamber_mm</x:v>
      </x:c>
      <x:c r="E156" s="27" t="n">
        <x:v>180</x:v>
      </x:c>
      <x:c r="F156" s="27" t="str"/>
      <x:c r="G156" s="27" t="str">
        <x:v>mm</x:v>
      </x:c>
      <x:c r="H156" s="27" t="n">
        <x:v>20</x:v>
      </x:c>
      <x:c r="I156" s="48" t="str"/>
    </x:row>
    <x:row r="157">
      <x:c r="A157" s="47" t="str">
        <x:v>BS_CRYOGENIC__AS-200</x:v>
      </x:c>
      <x:c r="B157" s="27" t="str">
        <x:v>BS_CRYOGENIC</x:v>
      </x:c>
      <x:c r="C157" s="27" t="str">
        <x:v>AS-200</x:v>
      </x:c>
      <x:c r="D157" s="27" t="str">
        <x:v>cooling_medium</x:v>
      </x:c>
      <x:c r="E157" s="27"/>
      <x:c r="F157" s="27" t="str">
        <x:v>Nitơ lỏng</x:v>
      </x:c>
      <x:c r="G157" s="27" t="str"/>
      <x:c r="H157" s="27" t="n">
        <x:v>20</x:v>
      </x:c>
      <x:c r="I157" s="48" t="str"/>
    </x:row>
    <x:row r="158">
      <x:c r="A158" s="47" t="str">
        <x:v>BS_CRYOGENIC__AS-200</x:v>
      </x:c>
      <x:c r="B158" s="27" t="str">
        <x:v>BS_CRYOGENIC</x:v>
      </x:c>
      <x:c r="C158" s="27" t="str">
        <x:v>AS-200</x:v>
      </x:c>
      <x:c r="D158" s="27" t="str">
        <x:v>temperature_c_min</x:v>
      </x:c>
      <x:c r="E158" s="27" t="n">
        <x:v>-196</x:v>
      </x:c>
      <x:c r="F158" s="27" t="str"/>
      <x:c r="G158" s="27" t="str">
        <x:v>°C</x:v>
      </x:c>
      <x:c r="H158" s="27" t="n">
        <x:v>20</x:v>
      </x:c>
      <x:c r="I158" s="48" t="str"/>
    </x:row>
    <x:row r="159">
      <x:c r="A159" s="47" t="str">
        <x:v>BS_CRYOGENIC__AS-200</x:v>
      </x:c>
      <x:c r="B159" s="27" t="str">
        <x:v>BS_CRYOGENIC</x:v>
      </x:c>
      <x:c r="C159" s="27" t="str">
        <x:v>AS-200</x:v>
      </x:c>
      <x:c r="D159" s="27" t="str">
        <x:v>temperature_c_max</x:v>
      </x:c>
      <x:c r="E159" s="27" t="n">
        <x:v>0</x:v>
      </x:c>
      <x:c r="F159" s="27" t="str"/>
      <x:c r="G159" s="27" t="str">
        <x:v>°C</x:v>
      </x:c>
      <x:c r="H159" s="27" t="n">
        <x:v>20</x:v>
      </x:c>
      <x:c r="I159" s="48" t="str"/>
    </x:row>
    <x:row r="160">
      <x:c r="A160" s="47" t="str">
        <x:v>BS_CRYOGENIC__AS-200</x:v>
      </x:c>
      <x:c r="B160" s="27" t="str">
        <x:v>BS_CRYOGENIC</x:v>
      </x:c>
      <x:c r="C160" s="27" t="str">
        <x:v>AS-200</x:v>
      </x:c>
      <x:c r="D160" s="27" t="str">
        <x:v>loading_unloading</x:v>
      </x:c>
      <x:c r="E160" s="27"/>
      <x:c r="F160" s="27" t="str">
        <x:v>Truyền tải trục vít</x:v>
      </x:c>
      <x:c r="G160" s="27" t="str"/>
      <x:c r="H160" s="27" t="n">
        <x:v>20</x:v>
      </x:c>
      <x:c r="I160" s="48" t="str"/>
    </x:row>
    <x:row r="161">
      <x:c r="A161" s="47" t="str">
        <x:v>BS_CRYOGENIC__AS-200</x:v>
      </x:c>
      <x:c r="B161" s="27" t="str">
        <x:v>BS_CRYOGENIC</x:v>
      </x:c>
      <x:c r="C161" s="27" t="str">
        <x:v>AS-200</x:v>
      </x:c>
      <x:c r="D161" s="27" t="str">
        <x:v>performance_note</x:v>
      </x:c>
      <x:c r="E161" s="27"/>
      <x:c r="F161" s="27" t="str">
        <x:v>Công suất và độ mịn phụ thuộc nguyên liệu</x:v>
      </x:c>
      <x:c r="G161" s="27" t="str"/>
      <x:c r="H161" s="27" t="n">
        <x:v>20</x:v>
      </x:c>
      <x:c r="I161" s="48" t="str"/>
    </x:row>
    <x:row r="162">
      <x:c r="A162" s="47" t="str">
        <x:v>BS_CRYOGENIC__AS-400</x:v>
      </x:c>
      <x:c r="B162" s="27" t="str">
        <x:v>BS_CRYOGENIC</x:v>
      </x:c>
      <x:c r="C162" s="27" t="str">
        <x:v>AS-400</x:v>
      </x:c>
      <x:c r="D162" s="27" t="str">
        <x:v>grinding_chamber_mm</x:v>
      </x:c>
      <x:c r="E162" s="27" t="n">
        <x:v>180</x:v>
      </x:c>
      <x:c r="F162" s="27" t="str"/>
      <x:c r="G162" s="27" t="str">
        <x:v>mm</x:v>
      </x:c>
      <x:c r="H162" s="27" t="n">
        <x:v>20</x:v>
      </x:c>
      <x:c r="I162" s="48" t="str"/>
    </x:row>
    <x:row r="163">
      <x:c r="A163" s="47" t="str">
        <x:v>BS_CRYOGENIC__AS-400</x:v>
      </x:c>
      <x:c r="B163" s="27" t="str">
        <x:v>BS_CRYOGENIC</x:v>
      </x:c>
      <x:c r="C163" s="27" t="str">
        <x:v>AS-400</x:v>
      </x:c>
      <x:c r="D163" s="27" t="str">
        <x:v>cooling_medium</x:v>
      </x:c>
      <x:c r="E163" s="27"/>
      <x:c r="F163" s="27" t="str">
        <x:v>Nitơ lỏng</x:v>
      </x:c>
      <x:c r="G163" s="27" t="str"/>
      <x:c r="H163" s="27" t="n">
        <x:v>20</x:v>
      </x:c>
      <x:c r="I163" s="48" t="str"/>
    </x:row>
    <x:row r="164">
      <x:c r="A164" s="47" t="str">
        <x:v>BS_CRYOGENIC__AS-400</x:v>
      </x:c>
      <x:c r="B164" s="27" t="str">
        <x:v>BS_CRYOGENIC</x:v>
      </x:c>
      <x:c r="C164" s="27" t="str">
        <x:v>AS-400</x:v>
      </x:c>
      <x:c r="D164" s="27" t="str">
        <x:v>temperature_c_min</x:v>
      </x:c>
      <x:c r="E164" s="27" t="n">
        <x:v>-196</x:v>
      </x:c>
      <x:c r="F164" s="27" t="str"/>
      <x:c r="G164" s="27" t="str">
        <x:v>°C</x:v>
      </x:c>
      <x:c r="H164" s="27" t="n">
        <x:v>20</x:v>
      </x:c>
      <x:c r="I164" s="48" t="str"/>
    </x:row>
    <x:row r="165">
      <x:c r="A165" s="47" t="str">
        <x:v>BS_CRYOGENIC__AS-400</x:v>
      </x:c>
      <x:c r="B165" s="27" t="str">
        <x:v>BS_CRYOGENIC</x:v>
      </x:c>
      <x:c r="C165" s="27" t="str">
        <x:v>AS-400</x:v>
      </x:c>
      <x:c r="D165" s="27" t="str">
        <x:v>temperature_c_max</x:v>
      </x:c>
      <x:c r="E165" s="27" t="n">
        <x:v>0</x:v>
      </x:c>
      <x:c r="F165" s="27" t="str"/>
      <x:c r="G165" s="27" t="str">
        <x:v>°C</x:v>
      </x:c>
      <x:c r="H165" s="27" t="n">
        <x:v>20</x:v>
      </x:c>
      <x:c r="I165" s="48" t="str"/>
    </x:row>
    <x:row r="166">
      <x:c r="A166" s="47" t="str">
        <x:v>BS_CRYOGENIC__AS-400</x:v>
      </x:c>
      <x:c r="B166" s="27" t="str">
        <x:v>BS_CRYOGENIC</x:v>
      </x:c>
      <x:c r="C166" s="27" t="str">
        <x:v>AS-400</x:v>
      </x:c>
      <x:c r="D166" s="27" t="str">
        <x:v>loading_unloading</x:v>
      </x:c>
      <x:c r="E166" s="27"/>
      <x:c r="F166" s="27" t="str">
        <x:v>Truyền tải trục vít</x:v>
      </x:c>
      <x:c r="G166" s="27" t="str"/>
      <x:c r="H166" s="27" t="n">
        <x:v>20</x:v>
      </x:c>
      <x:c r="I166" s="48" t="str"/>
    </x:row>
    <x:row r="167">
      <x:c r="A167" s="47" t="str">
        <x:v>BS_CRYOGENIC__AS-400</x:v>
      </x:c>
      <x:c r="B167" s="27" t="str">
        <x:v>BS_CRYOGENIC</x:v>
      </x:c>
      <x:c r="C167" s="27" t="str">
        <x:v>AS-400</x:v>
      </x:c>
      <x:c r="D167" s="27" t="str">
        <x:v>performance_note</x:v>
      </x:c>
      <x:c r="E167" s="27"/>
      <x:c r="F167" s="27" t="str">
        <x:v>Công suất và độ mịn phụ thuộc nguyên liệu</x:v>
      </x:c>
      <x:c r="G167" s="27" t="str"/>
      <x:c r="H167" s="27" t="n">
        <x:v>20</x:v>
      </x:c>
      <x:c r="I167" s="48" t="str"/>
    </x:row>
    <x:row r="168">
      <x:c r="A168" s="47" t="str">
        <x:v>BS_CRYOGENIC__AS-500</x:v>
      </x:c>
      <x:c r="B168" s="27" t="str">
        <x:v>BS_CRYOGENIC</x:v>
      </x:c>
      <x:c r="C168" s="27" t="str">
        <x:v>AS-500</x:v>
      </x:c>
      <x:c r="D168" s="27" t="str">
        <x:v>grinding_chamber_mm</x:v>
      </x:c>
      <x:c r="E168" s="27" t="n">
        <x:v>180</x:v>
      </x:c>
      <x:c r="F168" s="27" t="str"/>
      <x:c r="G168" s="27" t="str">
        <x:v>mm</x:v>
      </x:c>
      <x:c r="H168" s="27" t="n">
        <x:v>20</x:v>
      </x:c>
      <x:c r="I168" s="48" t="str"/>
    </x:row>
    <x:row r="169">
      <x:c r="A169" s="47" t="str">
        <x:v>BS_CRYOGENIC__AS-500</x:v>
      </x:c>
      <x:c r="B169" s="27" t="str">
        <x:v>BS_CRYOGENIC</x:v>
      </x:c>
      <x:c r="C169" s="27" t="str">
        <x:v>AS-500</x:v>
      </x:c>
      <x:c r="D169" s="27" t="str">
        <x:v>cooling_medium</x:v>
      </x:c>
      <x:c r="E169" s="27"/>
      <x:c r="F169" s="27" t="str">
        <x:v>Nitơ lỏng</x:v>
      </x:c>
      <x:c r="G169" s="27" t="str"/>
      <x:c r="H169" s="27" t="n">
        <x:v>20</x:v>
      </x:c>
      <x:c r="I169" s="48" t="str"/>
    </x:row>
    <x:row r="170">
      <x:c r="A170" s="47" t="str">
        <x:v>BS_CRYOGENIC__AS-500</x:v>
      </x:c>
      <x:c r="B170" s="27" t="str">
        <x:v>BS_CRYOGENIC</x:v>
      </x:c>
      <x:c r="C170" s="27" t="str">
        <x:v>AS-500</x:v>
      </x:c>
      <x:c r="D170" s="27" t="str">
        <x:v>temperature_c_min</x:v>
      </x:c>
      <x:c r="E170" s="27" t="n">
        <x:v>-196</x:v>
      </x:c>
      <x:c r="F170" s="27" t="str"/>
      <x:c r="G170" s="27" t="str">
        <x:v>°C</x:v>
      </x:c>
      <x:c r="H170" s="27" t="n">
        <x:v>20</x:v>
      </x:c>
      <x:c r="I170" s="48" t="str"/>
    </x:row>
    <x:row r="171">
      <x:c r="A171" s="47" t="str">
        <x:v>BS_CRYOGENIC__AS-500</x:v>
      </x:c>
      <x:c r="B171" s="27" t="str">
        <x:v>BS_CRYOGENIC</x:v>
      </x:c>
      <x:c r="C171" s="27" t="str">
        <x:v>AS-500</x:v>
      </x:c>
      <x:c r="D171" s="27" t="str">
        <x:v>temperature_c_max</x:v>
      </x:c>
      <x:c r="E171" s="27" t="n">
        <x:v>0</x:v>
      </x:c>
      <x:c r="F171" s="27" t="str"/>
      <x:c r="G171" s="27" t="str">
        <x:v>°C</x:v>
      </x:c>
      <x:c r="H171" s="27" t="n">
        <x:v>20</x:v>
      </x:c>
      <x:c r="I171" s="48" t="str"/>
    </x:row>
    <x:row r="172">
      <x:c r="A172" s="47" t="str">
        <x:v>BS_CRYOGENIC__AS-500</x:v>
      </x:c>
      <x:c r="B172" s="27" t="str">
        <x:v>BS_CRYOGENIC</x:v>
      </x:c>
      <x:c r="C172" s="27" t="str">
        <x:v>AS-500</x:v>
      </x:c>
      <x:c r="D172" s="27" t="str">
        <x:v>loading_unloading</x:v>
      </x:c>
      <x:c r="E172" s="27"/>
      <x:c r="F172" s="27" t="str">
        <x:v>Truyền tải trục vít</x:v>
      </x:c>
      <x:c r="G172" s="27" t="str"/>
      <x:c r="H172" s="27" t="n">
        <x:v>20</x:v>
      </x:c>
      <x:c r="I172" s="48" t="str"/>
    </x:row>
    <x:row r="173">
      <x:c r="A173" s="49" t="str">
        <x:v>BS_CRYOGENIC__AS-500</x:v>
      </x:c>
      <x:c r="B173" s="50" t="str">
        <x:v>BS_CRYOGENIC</x:v>
      </x:c>
      <x:c r="C173" s="50" t="str">
        <x:v>AS-500</x:v>
      </x:c>
      <x:c r="D173" s="50" t="str">
        <x:v>performance_note</x:v>
      </x:c>
      <x:c r="E173" s="50"/>
      <x:c r="F173" s="50" t="str">
        <x:v>Công suất và độ mịn phụ thuộc nguyên liệu</x:v>
      </x:c>
      <x:c r="G173" s="50" t="str"/>
      <x:c r="H173" s="50" t="n">
        <x:v>20</x:v>
      </x:c>
      <x:c r="I173" s="51" t="str"/>
    </x:row>
  </x:sheetData>
  <x:pageMargins left="0.7" right="0.7" top="0.75" bottom="0.75" header="0.3" footer="0.3"/>
  <x:tableParts count="1">
    <x:tablePart xmlns:r="http://schemas.openxmlformats.org/officeDocument/2006/relationships" r:id="Rd66af03a214b4a99"/>
  </x:tableParts>
</x:worksheet>
</file>

<file path=xl/worksheets/sheet5.xml><?xml version="1.0" encoding="utf-8"?>
<x:worksheet xmlns:x="http://schemas.openxmlformats.org/spreadsheetml/2006/main">
  <x:sheetFormatPr defaultRowHeight="15"/>
  <x:cols>
    <x:col min="1" max="1" width="24" hidden="0" customWidth="1"/>
    <x:col min="2" max="2" width="14" hidden="0" customWidth="1"/>
    <x:col min="3" max="3" width="30" hidden="0" customWidth="1"/>
    <x:col min="4" max="4" width="40" hidden="0" customWidth="1"/>
  </x:cols>
  <x:sheetData>
    <x:row r="1">
      <x:c r="A1" s="30" t="str">
        <x:v>series_code</x:v>
      </x:c>
      <x:c r="B1" s="31" t="str">
        <x:v>display_code</x:v>
      </x:c>
      <x:c r="C1" s="31" t="str">
        <x:v>tag</x:v>
      </x:c>
      <x:c r="D1" s="32" t="str">
        <x:v>note</x:v>
      </x:c>
    </x:row>
    <x:row r="2">
      <x:c r="A2" s="33" t="str">
        <x:v>BSC_COARSE</x:v>
      </x:c>
      <x:c r="B2" s="34" t="str">
        <x:v>BSC</x:v>
      </x:c>
      <x:c r="C2" s="34" t="str">
        <x:v>coarse</x:v>
      </x:c>
      <x:c r="D2" s="35" t="str">
        <x:v>Dùng cho bộ lọc/chọn máy tự động</x:v>
      </x:c>
    </x:row>
    <x:row r="3">
      <x:c r="A3" s="33" t="str">
        <x:v>BSC_COARSE</x:v>
      </x:c>
      <x:c r="B3" s="34" t="str">
        <x:v>BSC</x:v>
      </x:c>
      <x:c r="C3" s="34" t="str">
        <x:v>pre_crushing</x:v>
      </x:c>
      <x:c r="D3" s="35" t="str">
        <x:v>Dùng cho bộ lọc/chọn máy tự động</x:v>
      </x:c>
    </x:row>
    <x:row r="4">
      <x:c r="A4" s="33" t="str">
        <x:v>BSC_COARSE</x:v>
      </x:c>
      <x:c r="B4" s="34" t="str">
        <x:v>BSC</x:v>
      </x:c>
      <x:c r="C4" s="34" t="str">
        <x:v>large_input</x:v>
      </x:c>
      <x:c r="D4" s="35" t="str">
        <x:v>Dùng cho bộ lọc/chọn máy tự động</x:v>
      </x:c>
    </x:row>
    <x:row r="5">
      <x:c r="A5" s="33" t="str">
        <x:v>BSC_COARSE</x:v>
      </x:c>
      <x:c r="B5" s="34" t="str">
        <x:v>BSC</x:v>
      </x:c>
      <x:c r="C5" s="34" t="str">
        <x:v>impact</x:v>
      </x:c>
      <x:c r="D5" s="35" t="str">
        <x:v>Dùng cho bộ lọc/chọn máy tự động</x:v>
      </x:c>
    </x:row>
    <x:row r="6">
      <x:c r="A6" s="33" t="str">
        <x:v>BSC_COARSE</x:v>
      </x:c>
      <x:c r="B6" s="34" t="str">
        <x:v>BSC</x:v>
      </x:c>
      <x:c r="C6" s="34" t="str">
        <x:v>cutting</x:v>
      </x:c>
      <x:c r="D6" s="35" t="str">
        <x:v>Dùng cho bộ lọc/chọn máy tự động</x:v>
      </x:c>
    </x:row>
    <x:row r="7">
      <x:c r="A7" s="33" t="str">
        <x:v>BS_SMALL_HAMMER</x:v>
      </x:c>
      <x:c r="B7" s="34" t="str">
        <x:v>BS</x:v>
      </x:c>
      <x:c r="C7" s="34" t="str">
        <x:v>food</x:v>
      </x:c>
      <x:c r="D7" s="35" t="str">
        <x:v>Dùng cho bộ lọc/chọn máy tự động</x:v>
      </x:c>
    </x:row>
    <x:row r="8">
      <x:c r="A8" s="33" t="str">
        <x:v>BS_SMALL_HAMMER</x:v>
      </x:c>
      <x:c r="B8" s="34" t="str">
        <x:v>BS</x:v>
      </x:c>
      <x:c r="C8" s="34" t="str">
        <x:v>chemical</x:v>
      </x:c>
      <x:c r="D8" s="35" t="str">
        <x:v>Dùng cho bộ lọc/chọn máy tự động</x:v>
      </x:c>
    </x:row>
    <x:row r="9">
      <x:c r="A9" s="33" t="str">
        <x:v>BS_SMALL_HAMMER</x:v>
      </x:c>
      <x:c r="B9" s="34" t="str">
        <x:v>BS</x:v>
      </x:c>
      <x:c r="C9" s="34" t="str">
        <x:v>pharma</x:v>
      </x:c>
      <x:c r="D9" s="35" t="str">
        <x:v>Dùng cho bộ lọc/chọn máy tự động</x:v>
      </x:c>
    </x:row>
    <x:row r="10">
      <x:c r="A10" s="33" t="str">
        <x:v>BS_SMALL_HAMMER</x:v>
      </x:c>
      <x:c r="B10" s="34" t="str">
        <x:v>BS</x:v>
      </x:c>
      <x:c r="C10" s="34" t="str">
        <x:v>fibrous</x:v>
      </x:c>
      <x:c r="D10" s="35" t="str">
        <x:v>Dùng cho bộ lọc/chọn máy tự động</x:v>
      </x:c>
    </x:row>
    <x:row r="11">
      <x:c r="A11" s="33" t="str">
        <x:v>BS_SMALL_HAMMER</x:v>
      </x:c>
      <x:c r="B11" s="34" t="str">
        <x:v>BS</x:v>
      </x:c>
      <x:c r="C11" s="34" t="str">
        <x:v>hard_material</x:v>
      </x:c>
      <x:c r="D11" s="35" t="str">
        <x:v>Dùng cho bộ lọc/chọn máy tự động</x:v>
      </x:c>
    </x:row>
    <x:row r="12">
      <x:c r="A12" s="33" t="str">
        <x:v>BS_SMALL_HAMMER</x:v>
      </x:c>
      <x:c r="B12" s="34" t="str">
        <x:v>BS</x:v>
      </x:c>
      <x:c r="C12" s="34" t="str">
        <x:v>screen</x:v>
      </x:c>
      <x:c r="D12" s="35" t="str">
        <x:v>Dùng cho bộ lọc/chọn máy tự động</x:v>
      </x:c>
    </x:row>
    <x:row r="13">
      <x:c r="A13" s="33" t="str">
        <x:v>BS_SMALL_HAMMER</x:v>
      </x:c>
      <x:c r="B13" s="34" t="str">
        <x:v>BS</x:v>
      </x:c>
      <x:c r="C13" s="34" t="str">
        <x:v>hammer</x:v>
      </x:c>
      <x:c r="D13" s="35" t="str">
        <x:v>Dùng cho bộ lọc/chọn máy tự động</x:v>
      </x:c>
    </x:row>
    <x:row r="14">
      <x:c r="A14" s="33" t="str">
        <x:v>BS_SMALL_HAMMER</x:v>
      </x:c>
      <x:c r="B14" s="34" t="str">
        <x:v>BS</x:v>
      </x:c>
      <x:c r="C14" s="34" t="str">
        <x:v>cutting</x:v>
      </x:c>
      <x:c r="D14" s="35" t="str">
        <x:v>Dùng cho bộ lọc/chọn máy tự động</x:v>
      </x:c>
    </x:row>
    <x:row r="15">
      <x:c r="A15" s="33" t="str">
        <x:v>BSU_UNIVERSAL</x:v>
      </x:c>
      <x:c r="B15" s="34" t="str">
        <x:v>BSU</x:v>
      </x:c>
      <x:c r="C15" s="34" t="str">
        <x:v>universal</x:v>
      </x:c>
      <x:c r="D15" s="35" t="str">
        <x:v>Dùng cho bộ lọc/chọn máy tự động</x:v>
      </x:c>
    </x:row>
    <x:row r="16">
      <x:c r="A16" s="33" t="str">
        <x:v>BSU_UNIVERSAL</x:v>
      </x:c>
      <x:c r="B16" s="34" t="str">
        <x:v>BSU</x:v>
      </x:c>
      <x:c r="C16" s="34" t="str">
        <x:v>food</x:v>
      </x:c>
      <x:c r="D16" s="35" t="str">
        <x:v>Dùng cho bộ lọc/chọn máy tự động</x:v>
      </x:c>
    </x:row>
    <x:row r="17">
      <x:c r="A17" s="33" t="str">
        <x:v>BSU_UNIVERSAL</x:v>
      </x:c>
      <x:c r="B17" s="34" t="str">
        <x:v>BSU</x:v>
      </x:c>
      <x:c r="C17" s="34" t="str">
        <x:v>chemical</x:v>
      </x:c>
      <x:c r="D17" s="35" t="str">
        <x:v>Dùng cho bộ lọc/chọn máy tự động</x:v>
      </x:c>
    </x:row>
    <x:row r="18">
      <x:c r="A18" s="33" t="str">
        <x:v>BSU_UNIVERSAL</x:v>
      </x:c>
      <x:c r="B18" s="34" t="str">
        <x:v>BSU</x:v>
      </x:c>
      <x:c r="C18" s="34" t="str">
        <x:v>feed</x:v>
      </x:c>
      <x:c r="D18" s="35" t="str">
        <x:v>Dùng cho bộ lọc/chọn máy tự động</x:v>
      </x:c>
    </x:row>
    <x:row r="19">
      <x:c r="A19" s="33" t="str">
        <x:v>BSU_UNIVERSAL</x:v>
      </x:c>
      <x:c r="B19" s="34" t="str">
        <x:v>BSU</x:v>
      </x:c>
      <x:c r="C19" s="34" t="str">
        <x:v>pharma</x:v>
      </x:c>
      <x:c r="D19" s="35" t="str">
        <x:v>Dùng cho bộ lọc/chọn máy tự động</x:v>
      </x:c>
    </x:row>
    <x:row r="20">
      <x:c r="A20" s="33" t="str">
        <x:v>BSU_UNIVERSAL</x:v>
      </x:c>
      <x:c r="B20" s="34" t="str">
        <x:v>BSU</x:v>
      </x:c>
      <x:c r="C20" s="34" t="str">
        <x:v>screen</x:v>
      </x:c>
      <x:c r="D20" s="35" t="str">
        <x:v>Dùng cho bộ lọc/chọn máy tự động</x:v>
      </x:c>
    </x:row>
    <x:row r="21">
      <x:c r="A21" s="33" t="str">
        <x:v>BSU_UNIVERSAL</x:v>
      </x:c>
      <x:c r="B21" s="34" t="str">
        <x:v>BSU</x:v>
      </x:c>
      <x:c r="C21" s="34" t="str">
        <x:v>variable_speed</x:v>
      </x:c>
      <x:c r="D21" s="35" t="str">
        <x:v>Dùng cho bộ lọc/chọn máy tự động</x:v>
      </x:c>
    </x:row>
    <x:row r="22">
      <x:c r="A22" s="33" t="str">
        <x:v>BSG_UNIVERSAL_SYSTEM</x:v>
      </x:c>
      <x:c r="B22" s="34" t="str">
        <x:v>BSG</x:v>
      </x:c>
      <x:c r="C22" s="34" t="str">
        <x:v>universal</x:v>
      </x:c>
      <x:c r="D22" s="35" t="str">
        <x:v>Dùng cho bộ lọc/chọn máy tự động</x:v>
      </x:c>
    </x:row>
    <x:row r="23">
      <x:c r="A23" s="33" t="str">
        <x:v>BSG_UNIVERSAL_SYSTEM</x:v>
      </x:c>
      <x:c r="B23" s="34" t="str">
        <x:v>BSG</x:v>
      </x:c>
      <x:c r="C23" s="34" t="str">
        <x:v>food</x:v>
      </x:c>
      <x:c r="D23" s="35" t="str">
        <x:v>Dùng cho bộ lọc/chọn máy tự động</x:v>
      </x:c>
    </x:row>
    <x:row r="24">
      <x:c r="A24" s="33" t="str">
        <x:v>BSG_UNIVERSAL_SYSTEM</x:v>
      </x:c>
      <x:c r="B24" s="34" t="str">
        <x:v>BSG</x:v>
      </x:c>
      <x:c r="C24" s="34" t="str">
        <x:v>chemical</x:v>
      </x:c>
      <x:c r="D24" s="35" t="str">
        <x:v>Dùng cho bộ lọc/chọn máy tự động</x:v>
      </x:c>
    </x:row>
    <x:row r="25">
      <x:c r="A25" s="33" t="str">
        <x:v>BSG_UNIVERSAL_SYSTEM</x:v>
      </x:c>
      <x:c r="B25" s="34" t="str">
        <x:v>BSG</x:v>
      </x:c>
      <x:c r="C25" s="34" t="str">
        <x:v>feed</x:v>
      </x:c>
      <x:c r="D25" s="35" t="str">
        <x:v>Dùng cho bộ lọc/chọn máy tự động</x:v>
      </x:c>
    </x:row>
    <x:row r="26">
      <x:c r="A26" s="33" t="str">
        <x:v>BSG_UNIVERSAL_SYSTEM</x:v>
      </x:c>
      <x:c r="B26" s="34" t="str">
        <x:v>BSG</x:v>
      </x:c>
      <x:c r="C26" s="34" t="str">
        <x:v>pharma</x:v>
      </x:c>
      <x:c r="D26" s="35" t="str">
        <x:v>Dùng cho bộ lọc/chọn máy tự động</x:v>
      </x:c>
    </x:row>
    <x:row r="27">
      <x:c r="A27" s="33" t="str">
        <x:v>BSG_UNIVERSAL_SYSTEM</x:v>
      </x:c>
      <x:c r="B27" s="34" t="str">
        <x:v>BSG</x:v>
      </x:c>
      <x:c r="C27" s="34" t="str">
        <x:v>dust_collection</x:v>
      </x:c>
      <x:c r="D27" s="35" t="str">
        <x:v>Dùng cho bộ lọc/chọn máy tự động</x:v>
      </x:c>
    </x:row>
    <x:row r="28">
      <x:c r="A28" s="33" t="str">
        <x:v>BSG_UNIVERSAL_SYSTEM</x:v>
      </x:c>
      <x:c r="B28" s="34" t="str">
        <x:v>BSG</x:v>
      </x:c>
      <x:c r="C28" s="34" t="str">
        <x:v>blower</x:v>
      </x:c>
      <x:c r="D28" s="35" t="str">
        <x:v>Dùng cho bộ lọc/chọn máy tự động</x:v>
      </x:c>
    </x:row>
    <x:row r="29">
      <x:c r="A29" s="33" t="str">
        <x:v>BSG_UNIVERSAL_SYSTEM</x:v>
      </x:c>
      <x:c r="B29" s="34" t="str">
        <x:v>BSG</x:v>
      </x:c>
      <x:c r="C29" s="34" t="str">
        <x:v>continuous</x:v>
      </x:c>
      <x:c r="D29" s="35" t="str">
        <x:v>Dùng cho bộ lọc/chọn máy tự động</x:v>
      </x:c>
    </x:row>
    <x:row r="30">
      <x:c r="A30" s="33" t="str">
        <x:v>BSP_ULTRAFINE</x:v>
      </x:c>
      <x:c r="B30" s="34" t="str">
        <x:v>BSP</x:v>
      </x:c>
      <x:c r="C30" s="34" t="str">
        <x:v>ultrafine</x:v>
      </x:c>
      <x:c r="D30" s="35" t="str">
        <x:v>Dùng cho bộ lọc/chọn máy tự động</x:v>
      </x:c>
    </x:row>
    <x:row r="31">
      <x:c r="A31" s="33" t="str">
        <x:v>BSP_ULTRAFINE</x:v>
      </x:c>
      <x:c r="B31" s="34" t="str">
        <x:v>BSP</x:v>
      </x:c>
      <x:c r="C31" s="34" t="str">
        <x:v>air_classifier</x:v>
      </x:c>
      <x:c r="D31" s="35" t="str">
        <x:v>Dùng cho bộ lọc/chọn máy tự động</x:v>
      </x:c>
    </x:row>
    <x:row r="32">
      <x:c r="A32" s="33" t="str">
        <x:v>BSP_ULTRAFINE</x:v>
      </x:c>
      <x:c r="B32" s="34" t="str">
        <x:v>BSP</x:v>
      </x:c>
      <x:c r="C32" s="34" t="str">
        <x:v>cooling_air</x:v>
      </x:c>
      <x:c r="D32" s="35" t="str">
        <x:v>Dùng cho bộ lọc/chọn máy tự động</x:v>
      </x:c>
    </x:row>
    <x:row r="33">
      <x:c r="A33" s="33" t="str">
        <x:v>BSP_ULTRAFINE</x:v>
      </x:c>
      <x:c r="B33" s="34" t="str">
        <x:v>BSP</x:v>
      </x:c>
      <x:c r="C33" s="34" t="str">
        <x:v>food</x:v>
      </x:c>
      <x:c r="D33" s="35" t="str">
        <x:v>Dùng cho bộ lọc/chọn máy tự động</x:v>
      </x:c>
    </x:row>
    <x:row r="34">
      <x:c r="A34" s="33" t="str">
        <x:v>BSP_ULTRAFINE</x:v>
      </x:c>
      <x:c r="B34" s="34" t="str">
        <x:v>BSP</x:v>
      </x:c>
      <x:c r="C34" s="34" t="str">
        <x:v>chemical</x:v>
      </x:c>
      <x:c r="D34" s="35" t="str">
        <x:v>Dùng cho bộ lọc/chọn máy tự động</x:v>
      </x:c>
    </x:row>
    <x:row r="35">
      <x:c r="A35" s="33" t="str">
        <x:v>BSP_ULTRAFINE</x:v>
      </x:c>
      <x:c r="B35" s="34" t="str">
        <x:v>BSP</x:v>
      </x:c>
      <x:c r="C35" s="34" t="str">
        <x:v>mineral</x:v>
      </x:c>
      <x:c r="D35" s="35" t="str">
        <x:v>Dùng cho bộ lọc/chọn máy tự động</x:v>
      </x:c>
    </x:row>
    <x:row r="36">
      <x:c r="A36" s="33" t="str">
        <x:v>BSP_ULTRAFINE</x:v>
      </x:c>
      <x:c r="B36" s="34" t="str">
        <x:v>BSP</x:v>
      </x:c>
      <x:c r="C36" s="34" t="str">
        <x:v>coating</x:v>
      </x:c>
      <x:c r="D36" s="35" t="str">
        <x:v>Dùng cho bộ lọc/chọn máy tự động</x:v>
      </x:c>
    </x:row>
    <x:row r="37">
      <x:c r="A37" s="33" t="str">
        <x:v>BSP_ULTRAFINE</x:v>
      </x:c>
      <x:c r="B37" s="34" t="str">
        <x:v>BSP</x:v>
      </x:c>
      <x:c r="C37" s="34" t="str">
        <x:v>hard_material</x:v>
      </x:c>
      <x:c r="D37" s="35" t="str">
        <x:v>Dùng cho bộ lọc/chọn máy tự động</x:v>
      </x:c>
    </x:row>
    <x:row r="38">
      <x:c r="A38" s="33" t="str">
        <x:v>BSP_ULTRAFINE</x:v>
      </x:c>
      <x:c r="B38" s="34" t="str">
        <x:v>BSP</x:v>
      </x:c>
      <x:c r="C38" s="34" t="str">
        <x:v>fibrous</x:v>
      </x:c>
      <x:c r="D38" s="35" t="str">
        <x:v>Dùng cho bộ lọc/chọn máy tự động</x:v>
      </x:c>
    </x:row>
    <x:row r="39">
      <x:c r="A39" s="33" t="str">
        <x:v>BSP_ULTRAFINE</x:v>
      </x:c>
      <x:c r="B39" s="34" t="str">
        <x:v>BSP</x:v>
      </x:c>
      <x:c r="C39" s="34" t="str">
        <x:v>brittle</x:v>
      </x:c>
      <x:c r="D39" s="35" t="str">
        <x:v>Dùng cho bộ lọc/chọn máy tự động</x:v>
      </x:c>
    </x:row>
    <x:row r="40">
      <x:c r="A40" s="33" t="str">
        <x:v>BSP_ULTRAFINE</x:v>
      </x:c>
      <x:c r="B40" s="34" t="str">
        <x:v>BSP</x:v>
      </x:c>
      <x:c r="C40" s="34" t="str">
        <x:v>crystalline</x:v>
      </x:c>
      <x:c r="D40" s="35" t="str">
        <x:v>Dùng cho bộ lọc/chọn máy tự động</x:v>
      </x:c>
    </x:row>
    <x:row r="41">
      <x:c r="A41" s="33" t="str">
        <x:v>BSP_ULTRAFINE</x:v>
      </x:c>
      <x:c r="B41" s="34" t="str">
        <x:v>BSP</x:v>
      </x:c>
      <x:c r="C41" s="34" t="str">
        <x:v>dust_collection</x:v>
      </x:c>
      <x:c r="D41" s="35" t="str">
        <x:v>Dùng cho bộ lọc/chọn máy tự động</x:v>
      </x:c>
    </x:row>
    <x:row r="42">
      <x:c r="A42" s="33" t="str">
        <x:v>BSZ_PIN</x:v>
      </x:c>
      <x:c r="B42" s="34" t="str">
        <x:v>BSZ</x:v>
      </x:c>
      <x:c r="C42" s="34" t="str">
        <x:v>pin_mill</x:v>
      </x:c>
      <x:c r="D42" s="35" t="str">
        <x:v>Dùng cho bộ lọc/chọn máy tự động</x:v>
      </x:c>
    </x:row>
    <x:row r="43">
      <x:c r="A43" s="33" t="str">
        <x:v>BSZ_PIN</x:v>
      </x:c>
      <x:c r="B43" s="34" t="str">
        <x:v>BSZ</x:v>
      </x:c>
      <x:c r="C43" s="34" t="str">
        <x:v>wet</x:v>
      </x:c>
      <x:c r="D43" s="35" t="str">
        <x:v>Dùng cho bộ lọc/chọn máy tự động</x:v>
      </x:c>
    </x:row>
    <x:row r="44">
      <x:c r="A44" s="33" t="str">
        <x:v>BSZ_PIN</x:v>
      </x:c>
      <x:c r="B44" s="34" t="str">
        <x:v>BSZ</x:v>
      </x:c>
      <x:c r="C44" s="34" t="str">
        <x:v>oily</x:v>
      </x:c>
      <x:c r="D44" s="35" t="str">
        <x:v>Dùng cho bộ lọc/chọn máy tự động</x:v>
      </x:c>
    </x:row>
    <x:row r="45">
      <x:c r="A45" s="33" t="str">
        <x:v>BSZ_PIN</x:v>
      </x:c>
      <x:c r="B45" s="34" t="str">
        <x:v>BSZ</x:v>
      </x:c>
      <x:c r="C45" s="34" t="str">
        <x:v>sticky</x:v>
      </x:c>
      <x:c r="D45" s="35" t="str">
        <x:v>Dùng cho bộ lọc/chọn máy tự động</x:v>
      </x:c>
    </x:row>
    <x:row r="46">
      <x:c r="A46" s="33" t="str">
        <x:v>BSZ_PIN</x:v>
      </x:c>
      <x:c r="B46" s="34" t="str">
        <x:v>BSZ</x:v>
      </x:c>
      <x:c r="C46" s="34" t="str">
        <x:v>paste</x:v>
      </x:c>
      <x:c r="D46" s="35" t="str">
        <x:v>Dùng cho bộ lọc/chọn máy tự động</x:v>
      </x:c>
    </x:row>
    <x:row r="47">
      <x:c r="A47" s="33" t="str">
        <x:v>BSZ_PIN</x:v>
      </x:c>
      <x:c r="B47" s="34" t="str">
        <x:v>BSZ</x:v>
      </x:c>
      <x:c r="C47" s="34" t="str">
        <x:v>cacao</x:v>
      </x:c>
      <x:c r="D47" s="35" t="str">
        <x:v>Dùng cho bộ lọc/chọn máy tự động</x:v>
      </x:c>
    </x:row>
    <x:row r="48">
      <x:c r="A48" s="33" t="str">
        <x:v>BSZ_PIN</x:v>
      </x:c>
      <x:c r="B48" s="34" t="str">
        <x:v>BSZ</x:v>
      </x:c>
      <x:c r="C48" s="34" t="str">
        <x:v>nitrogen_optional</x:v>
      </x:c>
      <x:c r="D48" s="35" t="str">
        <x:v>Dùng cho bộ lọc/chọn máy tự động</x:v>
      </x:c>
    </x:row>
    <x:row r="49">
      <x:c r="A49" s="33" t="str">
        <x:v>BSZ_PIN</x:v>
      </x:c>
      <x:c r="B49" s="34" t="str">
        <x:v>BSZ</x:v>
      </x:c>
      <x:c r="C49" s="34" t="str">
        <x:v>easy_clean</x:v>
      </x:c>
      <x:c r="D49" s="35" t="str">
        <x:v>Dùng cho bộ lọc/chọn máy tự động</x:v>
      </x:c>
    </x:row>
    <x:row r="50">
      <x:c r="A50" s="33" t="str">
        <x:v>BSZ_PIN</x:v>
      </x:c>
      <x:c r="B50" s="34" t="str">
        <x:v>BSZ</x:v>
      </x:c>
      <x:c r="C50" s="34" t="str">
        <x:v>small_capacity</x:v>
      </x:c>
      <x:c r="D50" s="35" t="str">
        <x:v>Dùng cho bộ lọc/chọn máy tự động</x:v>
      </x:c>
    </x:row>
    <x:row r="51">
      <x:c r="A51" s="33" t="str">
        <x:v>BSF_BS_HAMMER</x:v>
      </x:c>
      <x:c r="B51" s="34" t="str">
        <x:v>BSF/BS</x:v>
      </x:c>
      <x:c r="C51" s="34" t="str">
        <x:v>hammer</x:v>
      </x:c>
      <x:c r="D51" s="35" t="str">
        <x:v>Dùng cho bộ lọc/chọn máy tự động</x:v>
      </x:c>
    </x:row>
    <x:row r="52">
      <x:c r="A52" s="33" t="str">
        <x:v>BSF_BS_HAMMER</x:v>
      </x:c>
      <x:c r="B52" s="34" t="str">
        <x:v>BSF/BS</x:v>
      </x:c>
      <x:c r="C52" s="34" t="str">
        <x:v>cutting</x:v>
      </x:c>
      <x:c r="D52" s="35" t="str">
        <x:v>Dùng cho bộ lọc/chọn máy tự động</x:v>
      </x:c>
    </x:row>
    <x:row r="53">
      <x:c r="A53" s="33" t="str">
        <x:v>BSF_BS_HAMMER</x:v>
      </x:c>
      <x:c r="B53" s="34" t="str">
        <x:v>BSF/BS</x:v>
      </x:c>
      <x:c r="C53" s="34" t="str">
        <x:v>food</x:v>
      </x:c>
      <x:c r="D53" s="35" t="str">
        <x:v>Dùng cho bộ lọc/chọn máy tự động</x:v>
      </x:c>
    </x:row>
    <x:row r="54">
      <x:c r="A54" s="33" t="str">
        <x:v>BSF_BS_HAMMER</x:v>
      </x:c>
      <x:c r="B54" s="34" t="str">
        <x:v>BSF/BS</x:v>
      </x:c>
      <x:c r="C54" s="34" t="str">
        <x:v>pharma</x:v>
      </x:c>
      <x:c r="D54" s="35" t="str">
        <x:v>Dùng cho bộ lọc/chọn máy tự động</x:v>
      </x:c>
    </x:row>
    <x:row r="55">
      <x:c r="A55" s="33" t="str">
        <x:v>BSF_BS_HAMMER</x:v>
      </x:c>
      <x:c r="B55" s="34" t="str">
        <x:v>BSF/BS</x:v>
      </x:c>
      <x:c r="C55" s="34" t="str">
        <x:v>continuous</x:v>
      </x:c>
      <x:c r="D55" s="35" t="str">
        <x:v>Dùng cho bộ lọc/chọn máy tự động</x:v>
      </x:c>
    </x:row>
    <x:row r="56">
      <x:c r="A56" s="33" t="str">
        <x:v>BSF_BS_HAMMER</x:v>
      </x:c>
      <x:c r="B56" s="34" t="str">
        <x:v>BSF/BS</x:v>
      </x:c>
      <x:c r="C56" s="34" t="str">
        <x:v>dust_control</x:v>
      </x:c>
      <x:c r="D56" s="35" t="str">
        <x:v>Dùng cho bộ lọc/chọn máy tự động</x:v>
      </x:c>
    </x:row>
    <x:row r="57">
      <x:c r="A57" s="33" t="str">
        <x:v>BSF_BS_HAMMER</x:v>
      </x:c>
      <x:c r="B57" s="34" t="str">
        <x:v>BSF/BS</x:v>
      </x:c>
      <x:c r="C57" s="34" t="str">
        <x:v>powder</x:v>
      </x:c>
      <x:c r="D57" s="35" t="str">
        <x:v>Dùng cho bộ lọc/chọn máy tự động</x:v>
      </x:c>
    </x:row>
    <x:row r="58">
      <x:c r="A58" s="33" t="str">
        <x:v>BSF_BS_HAMMER</x:v>
      </x:c>
      <x:c r="B58" s="34" t="str">
        <x:v>BSF/BS</x:v>
      </x:c>
      <x:c r="C58" s="34" t="str">
        <x:v>granule</x:v>
      </x:c>
      <x:c r="D58" s="35" t="str">
        <x:v>Dùng cho bộ lọc/chọn máy tự động</x:v>
      </x:c>
    </x:row>
    <x:row r="59">
      <x:c r="A59" s="33" t="str">
        <x:v>BSDF_MULTISTAGE</x:v>
      </x:c>
      <x:c r="B59" s="34" t="str">
        <x:v>BSDF</x:v>
      </x:c>
      <x:c r="C59" s="34" t="str">
        <x:v>multi_stage</x:v>
      </x:c>
      <x:c r="D59" s="35" t="str">
        <x:v>Dùng cho bộ lọc/chọn máy tự động</x:v>
      </x:c>
    </x:row>
    <x:row r="60">
      <x:c r="A60" s="33" t="str">
        <x:v>BSDF_MULTISTAGE</x:v>
      </x:c>
      <x:c r="B60" s="34" t="str">
        <x:v>BSDF</x:v>
      </x:c>
      <x:c r="C60" s="34" t="str">
        <x:v>screenless</x:v>
      </x:c>
      <x:c r="D60" s="35" t="str">
        <x:v>Dùng cho bộ lọc/chọn máy tự động</x:v>
      </x:c>
    </x:row>
    <x:row r="61">
      <x:c r="A61" s="33" t="str">
        <x:v>BSDF_MULTISTAGE</x:v>
      </x:c>
      <x:c r="B61" s="34" t="str">
        <x:v>BSDF</x:v>
      </x:c>
      <x:c r="C61" s="34" t="str">
        <x:v>variable_speed</x:v>
      </x:c>
      <x:c r="D61" s="35" t="str">
        <x:v>Dùng cho bộ lọc/chọn máy tự động</x:v>
      </x:c>
    </x:row>
    <x:row r="62">
      <x:c r="A62" s="33" t="str">
        <x:v>BSDF_MULTISTAGE</x:v>
      </x:c>
      <x:c r="B62" s="34" t="str">
        <x:v>BSDF</x:v>
      </x:c>
      <x:c r="C62" s="34" t="str">
        <x:v>low_heat</x:v>
      </x:c>
      <x:c r="D62" s="35" t="str">
        <x:v>Dùng cho bộ lọc/chọn máy tự động</x:v>
      </x:c>
    </x:row>
    <x:row r="63">
      <x:c r="A63" s="33" t="str">
        <x:v>BSDF_MULTISTAGE</x:v>
      </x:c>
      <x:c r="B63" s="34" t="str">
        <x:v>BSDF</x:v>
      </x:c>
      <x:c r="C63" s="34" t="str">
        <x:v>energy_saving</x:v>
      </x:c>
      <x:c r="D63" s="35" t="str">
        <x:v>Dùng cho bộ lọc/chọn máy tự động</x:v>
      </x:c>
    </x:row>
    <x:row r="64">
      <x:c r="A64" s="33" t="str">
        <x:v>BSDF_MULTISTAGE</x:v>
      </x:c>
      <x:c r="B64" s="34" t="str">
        <x:v>BSDF</x:v>
      </x:c>
      <x:c r="C64" s="34" t="str">
        <x:v>continuous</x:v>
      </x:c>
      <x:c r="D64" s="35" t="str">
        <x:v>Dùng cho bộ lọc/chọn máy tự động</x:v>
      </x:c>
    </x:row>
    <x:row r="65">
      <x:c r="A65" s="33" t="str">
        <x:v>BSDF_MULTISTAGE</x:v>
      </x:c>
      <x:c r="B65" s="34" t="str">
        <x:v>BSDF</x:v>
      </x:c>
      <x:c r="C65" s="34" t="str">
        <x:v>cyclone</x:v>
      </x:c>
      <x:c r="D65" s="35" t="str">
        <x:v>Dùng cho bộ lọc/chọn máy tự động</x:v>
      </x:c>
    </x:row>
    <x:row r="66">
      <x:c r="A66" s="33" t="str">
        <x:v>BSDF_MULTISTAGE</x:v>
      </x:c>
      <x:c r="B66" s="34" t="str">
        <x:v>BSDF</x:v>
      </x:c>
      <x:c r="C66" s="34" t="str">
        <x:v>dust_filter</x:v>
      </x:c>
      <x:c r="D66" s="35" t="str">
        <x:v>Dùng cho bộ lọc/chọn máy tự động</x:v>
      </x:c>
    </x:row>
    <x:row r="67">
      <x:c r="A67" s="33" t="str">
        <x:v>BSDF_MULTISTAGE</x:v>
      </x:c>
      <x:c r="B67" s="34" t="str">
        <x:v>BSDF</x:v>
      </x:c>
      <x:c r="C67" s="34" t="str">
        <x:v>blower</x:v>
      </x:c>
      <x:c r="D67" s="35" t="str">
        <x:v>Dùng cho bộ lọc/chọn máy tự động</x:v>
      </x:c>
    </x:row>
    <x:row r="68">
      <x:c r="A68" s="33" t="str">
        <x:v>BS_ROLLER</x:v>
      </x:c>
      <x:c r="B68" s="34" t="str">
        <x:v>BS</x:v>
      </x:c>
      <x:c r="C68" s="34" t="str">
        <x:v>roller</x:v>
      </x:c>
      <x:c r="D68" s="35" t="str">
        <x:v>Dùng cho bộ lọc/chọn máy tự động</x:v>
      </x:c>
    </x:row>
    <x:row r="69">
      <x:c r="A69" s="33" t="str">
        <x:v>BS_ROLLER</x:v>
      </x:c>
      <x:c r="B69" s="34" t="str">
        <x:v>BS</x:v>
      </x:c>
      <x:c r="C69" s="34" t="str">
        <x:v>oily</x:v>
      </x:c>
      <x:c r="D69" s="35" t="str">
        <x:v>Dùng cho bộ lọc/chọn máy tự động</x:v>
      </x:c>
    </x:row>
    <x:row r="70">
      <x:c r="A70" s="33" t="str">
        <x:v>BS_ROLLER</x:v>
      </x:c>
      <x:c r="B70" s="34" t="str">
        <x:v>BS</x:v>
      </x:c>
      <x:c r="C70" s="34" t="str">
        <x:v>sesame</x:v>
      </x:c>
      <x:c r="D70" s="35" t="str">
        <x:v>Dùng cho bộ lọc/chọn máy tự động</x:v>
      </x:c>
    </x:row>
    <x:row r="71">
      <x:c r="A71" s="33" t="str">
        <x:v>BS_ROLLER</x:v>
      </x:c>
      <x:c r="B71" s="34" t="str">
        <x:v>BS</x:v>
      </x:c>
      <x:c r="C71" s="34" t="str">
        <x:v>peanut</x:v>
      </x:c>
      <x:c r="D71" s="35" t="str">
        <x:v>Dùng cho bộ lọc/chọn máy tự động</x:v>
      </x:c>
    </x:row>
    <x:row r="72">
      <x:c r="A72" s="33" t="str">
        <x:v>BS_ROLLER</x:v>
      </x:c>
      <x:c r="B72" s="34" t="str">
        <x:v>BS</x:v>
      </x:c>
      <x:c r="C72" s="34" t="str">
        <x:v>almond</x:v>
      </x:c>
      <x:c r="D72" s="35" t="str">
        <x:v>Dùng cho bộ lọc/chọn máy tự động</x:v>
      </x:c>
    </x:row>
    <x:row r="73">
      <x:c r="A73" s="33" t="str">
        <x:v>BS_ROLLER</x:v>
      </x:c>
      <x:c r="B73" s="34" t="str">
        <x:v>BS</x:v>
      </x:c>
      <x:c r="C73" s="34" t="str">
        <x:v>food</x:v>
      </x:c>
      <x:c r="D73" s="35" t="str">
        <x:v>Dùng cho bộ lọc/chọn máy tự động</x:v>
      </x:c>
    </x:row>
    <x:row r="74">
      <x:c r="A74" s="33" t="str">
        <x:v>BS_ROLLER</x:v>
      </x:c>
      <x:c r="B74" s="34" t="str">
        <x:v>BS</x:v>
      </x:c>
      <x:c r="C74" s="34" t="str">
        <x:v>low_fineness</x:v>
      </x:c>
      <x:c r="D74" s="35" t="str">
        <x:v>Dùng cho bộ lọc/chọn máy tự động</x:v>
      </x:c>
    </x:row>
    <x:row r="75">
      <x:c r="A75" s="33" t="str">
        <x:v>BSK_JET</x:v>
      </x:c>
      <x:c r="B75" s="34" t="str">
        <x:v>BSK</x:v>
      </x:c>
      <x:c r="C75" s="34" t="str">
        <x:v>jet_mill</x:v>
      </x:c>
      <x:c r="D75" s="35" t="str">
        <x:v>Dùng cho bộ lọc/chọn máy tự động</x:v>
      </x:c>
    </x:row>
    <x:row r="76">
      <x:c r="A76" s="33" t="str">
        <x:v>BSK_JET</x:v>
      </x:c>
      <x:c r="B76" s="34" t="str">
        <x:v>BSK</x:v>
      </x:c>
      <x:c r="C76" s="34" t="str">
        <x:v>compressed_air</x:v>
      </x:c>
      <x:c r="D76" s="35" t="str">
        <x:v>Dùng cho bộ lọc/chọn máy tự động</x:v>
      </x:c>
    </x:row>
    <x:row r="77">
      <x:c r="A77" s="33" t="str">
        <x:v>BSK_JET</x:v>
      </x:c>
      <x:c r="B77" s="34" t="str">
        <x:v>BSK</x:v>
      </x:c>
      <x:c r="C77" s="34" t="str">
        <x:v>ultrafine_um</x:v>
      </x:c>
      <x:c r="D77" s="35" t="str">
        <x:v>Dùng cho bộ lọc/chọn máy tự động</x:v>
      </x:c>
    </x:row>
    <x:row r="78">
      <x:c r="A78" s="33" t="str">
        <x:v>BSK_JET</x:v>
      </x:c>
      <x:c r="B78" s="34" t="str">
        <x:v>BSK</x:v>
      </x:c>
      <x:c r="C78" s="34" t="str">
        <x:v>classifier</x:v>
      </x:c>
      <x:c r="D78" s="35" t="str">
        <x:v>Dùng cho bộ lọc/chọn máy tự động</x:v>
      </x:c>
    </x:row>
    <x:row r="79">
      <x:c r="A79" s="33" t="str">
        <x:v>BSK_JET</x:v>
      </x:c>
      <x:c r="B79" s="34" t="str">
        <x:v>BSK</x:v>
      </x:c>
      <x:c r="C79" s="34" t="str">
        <x:v>cyclone</x:v>
      </x:c>
      <x:c r="D79" s="35" t="str">
        <x:v>Dùng cho bộ lọc/chọn máy tự động</x:v>
      </x:c>
    </x:row>
    <x:row r="80">
      <x:c r="A80" s="33" t="str">
        <x:v>BSK_JET</x:v>
      </x:c>
      <x:c r="B80" s="34" t="str">
        <x:v>BSK</x:v>
      </x:c>
      <x:c r="C80" s="34" t="str">
        <x:v>dust_collection</x:v>
      </x:c>
      <x:c r="D80" s="35" t="str">
        <x:v>Dùng cho bộ lọc/chọn máy tự động</x:v>
      </x:c>
    </x:row>
    <x:row r="81">
      <x:c r="A81" s="33" t="str">
        <x:v>BS_CRYOGENIC</x:v>
      </x:c>
      <x:c r="B81" s="34" t="str">
        <x:v>BS</x:v>
      </x:c>
      <x:c r="C81" s="34" t="str">
        <x:v>cryogenic</x:v>
      </x:c>
      <x:c r="D81" s="35" t="str">
        <x:v>Dùng cho bộ lọc/chọn máy tự động</x:v>
      </x:c>
    </x:row>
    <x:row r="82">
      <x:c r="A82" s="33" t="str">
        <x:v>BS_CRYOGENIC</x:v>
      </x:c>
      <x:c r="B82" s="34" t="str">
        <x:v>BS</x:v>
      </x:c>
      <x:c r="C82" s="34" t="str">
        <x:v>liquid_nitrogen</x:v>
      </x:c>
      <x:c r="D82" s="35" t="str">
        <x:v>Dùng cho bộ lọc/chọn máy tự động</x:v>
      </x:c>
    </x:row>
    <x:row r="83">
      <x:c r="A83" s="33" t="str">
        <x:v>BS_CRYOGENIC</x:v>
      </x:c>
      <x:c r="B83" s="34" t="str">
        <x:v>BS</x:v>
      </x:c>
      <x:c r="C83" s="34" t="str">
        <x:v>heat_sensitive</x:v>
      </x:c>
      <x:c r="D83" s="35" t="str">
        <x:v>Dùng cho bộ lọc/chọn máy tự động</x:v>
      </x:c>
    </x:row>
    <x:row r="84">
      <x:c r="A84" s="33" t="str">
        <x:v>BS_CRYOGENIC</x:v>
      </x:c>
      <x:c r="B84" s="34" t="str">
        <x:v>BS</x:v>
      </x:c>
      <x:c r="C84" s="34" t="str">
        <x:v>fruit</x:v>
      </x:c>
      <x:c r="D84" s="35" t="str">
        <x:v>Dùng cho bộ lọc/chọn máy tự động</x:v>
      </x:c>
    </x:row>
    <x:row r="85">
      <x:c r="A85" s="33" t="str">
        <x:v>BS_CRYOGENIC</x:v>
      </x:c>
      <x:c r="B85" s="34" t="str">
        <x:v>BS</x:v>
      </x:c>
      <x:c r="C85" s="34" t="str">
        <x:v>vegetable</x:v>
      </x:c>
      <x:c r="D85" s="35" t="str">
        <x:v>Dùng cho bộ lọc/chọn máy tự động</x:v>
      </x:c>
    </x:row>
    <x:row r="86">
      <x:c r="A86" s="33" t="str">
        <x:v>BS_CRYOGENIC</x:v>
      </x:c>
      <x:c r="B86" s="34" t="str">
        <x:v>BS</x:v>
      </x:c>
      <x:c r="C86" s="34" t="str">
        <x:v>herb</x:v>
      </x:c>
      <x:c r="D86" s="35" t="str">
        <x:v>Dùng cho bộ lọc/chọn máy tự động</x:v>
      </x:c>
    </x:row>
    <x:row r="87">
      <x:c r="A87" s="33" t="str">
        <x:v>BS_CRYOGENIC</x:v>
      </x:c>
      <x:c r="B87" s="34" t="str">
        <x:v>BS</x:v>
      </x:c>
      <x:c r="C87" s="34" t="str">
        <x:v>medicine</x:v>
      </x:c>
      <x:c r="D87" s="35" t="str">
        <x:v>Dùng cho bộ lọc/chọn máy tự động</x:v>
      </x:c>
    </x:row>
    <x:row r="88">
      <x:c r="A88" s="33" t="str">
        <x:v>BS_CRYOGENIC</x:v>
      </x:c>
      <x:c r="B88" s="34" t="str">
        <x:v>BS</x:v>
      </x:c>
      <x:c r="C88" s="34" t="str">
        <x:v>plastic</x:v>
      </x:c>
      <x:c r="D88" s="35" t="str">
        <x:v>Dùng cho bộ lọc/chọn máy tự động</x:v>
      </x:c>
    </x:row>
    <x:row r="89">
      <x:c r="A89" s="36" t="str">
        <x:v>BS_CRYOGENIC</x:v>
      </x:c>
      <x:c r="B89" s="37" t="str">
        <x:v>BS</x:v>
      </x:c>
      <x:c r="C89" s="37" t="str">
        <x:v>rubber</x:v>
      </x:c>
      <x:c r="D89" s="38" t="str">
        <x:v>Dùng cho bộ lọc/chọn máy tự động</x:v>
      </x:c>
    </x:row>
  </x:sheetData>
  <x:pageMargins left="0.7" right="0.7" top="0.75" bottom="0.75" header="0.3" footer="0.3"/>
  <x:tableParts count="1">
    <x:tablePart xmlns:r="http://schemas.openxmlformats.org/officeDocument/2006/relationships" r:id="Rfb20fee7026f4d62"/>
  </x:tableParts>
</x:worksheet>
</file>

<file path=xl/worksheets/sheet6.xml><?xml version="1.0" encoding="utf-8"?>
<x:worksheet xmlns:x="http://schemas.openxmlformats.org/spreadsheetml/2006/main">
  <x:sheetFormatPr defaultRowHeight="15"/>
  <x:cols>
    <x:col min="1" max="1" width="10" hidden="0" customWidth="1"/>
    <x:col min="2" max="2" width="35" hidden="0" customWidth="1"/>
    <x:col min="3" max="3" width="38" hidden="0" customWidth="1"/>
    <x:col min="4" max="4" width="55" hidden="0" customWidth="1"/>
    <x:col min="5" max="5" width="26" hidden="0" customWidth="1"/>
    <x:col min="6" max="6" width="14" hidden="0" customWidth="1"/>
    <x:col min="7" max="7" width="35" hidden="0" customWidth="1"/>
  </x:cols>
  <x:sheetData>
    <x:row r="1">
      <x:c r="A1" s="30" t="str">
        <x:v>pdf_page</x:v>
      </x:c>
      <x:c r="B1" s="31" t="str">
        <x:v>original_text</x:v>
      </x:c>
      <x:c r="C1" s="31" t="str">
        <x:v>normalized_value</x:v>
      </x:c>
      <x:c r="D1" s="31" t="str">
        <x:v>reason</x:v>
      </x:c>
      <x:c r="E1" s="31" t="str">
        <x:v>correction_type</x:v>
      </x:c>
      <x:c r="F1" s="31" t="str">
        <x:v>status</x:v>
      </x:c>
      <x:c r="G1" s="32" t="str">
        <x:v>review_note</x:v>
      </x:c>
    </x:row>
    <x:row r="2">
      <x:c r="A2" s="47" t="n">
        <x:v>17</x:v>
      </x:c>
      <x:c r="B2" s="27" t="str">
        <x:v>BSC MÁY NGHIỀN THÔ</x:v>
      </x:c>
      <x:c r="C2" s="27" t="str">
        <x:v>BSDF MÁY NGHIỀN BÚA NHIỀU TẦNG</x:v>
      </x:c>
      <x:c r="D2" s="27" t="str">
        <x:v>Các model trong bảng là BSDF-350/450/550/750; phần mô tả liền trước và chú thích ảnh đều ghi BSDF.</x:v>
      </x:c>
      <x:c r="E2" s="27" t="str">
        <x:v>catalog_layout_typo</x:v>
      </x:c>
      <x:c r="F2" s="27" t="str">
        <x:v>Open</x:v>
      </x:c>
      <x:c r="G2" s="48" t="str"/>
    </x:row>
    <x:row r="3">
      <x:c r="A3" s="47" t="n">
        <x:v>19</x:v>
      </x:c>
      <x:c r="B3" s="27" t="str">
        <x:v>Tiêu thụ khí nén (m3 / giây)</x:v>
      </x:c>
      <x:c r="C3" s="27" t="str">
        <x:v>Giữ nguyên đơn vị nguồn: m3/s</x:v>
      </x:c>
      <x:c r="D3" s="27" t="str">
        <x:v>Đơn vị trong PDF được bảo toàn; cần kỹ sư xác minh trước khi dùng để thiết kế/chọn máy nén khí.</x:v>
      </x:c>
      <x:c r="E3" s="27" t="str">
        <x:v>needs_verification</x:v>
      </x:c>
      <x:c r="F3" s="27" t="str">
        <x:v>Open</x:v>
      </x:c>
      <x:c r="G3" s="48" t="str"/>
    </x:row>
    <x:row r="4">
      <x:c r="A4" s="49" t="n">
        <x:v>20</x:v>
      </x:c>
      <x:c r="B4" s="50" t="str">
        <x:v>BS-200 / BS-400 / BS-500</x:v>
      </x:c>
      <x:c r="C4" s="50" t="str">
        <x:v>Machine ID có prefix series BS_CRYOGENIC</x:v>
      </x:c>
      <x:c r="D4" s="50" t="str">
        <x:v>Tên model BS bị trùng với dòng máy nghiền búa; dùng machine_id theo series để tránh xung đột khóa.</x:v>
      </x:c>
      <x:c r="E4" s="50" t="str">
        <x:v>database_normalization</x:v>
      </x:c>
      <x:c r="F4" s="50" t="str">
        <x:v>Open</x:v>
      </x:c>
      <x:c r="G4" s="51" t="str"/>
    </x:row>
  </x:sheetData>
  <x:dataValidations count="1">
    <x:dataValidation type="list" sqref="F2:F104">
      <x:formula1>"Open,Verified,Resolved"</x:formula1>
    </x:dataValidation>
  </x:dataValidations>
  <x:pageMargins left="0.7" right="0.7" top="0.75" bottom="0.75" header="0.3" footer="0.3"/>
  <x:tableParts count="1">
    <x:tablePart xmlns:r="http://schemas.openxmlformats.org/officeDocument/2006/relationships" r:id="Rbfaeb1cc5613479b"/>
  </x:tableParts>
</x:worksheet>
</file>

<file path=xl/worksheets/sheet7.xml><?xml version="1.0" encoding="utf-8"?>
<x:worksheet xmlns:x="http://schemas.openxmlformats.org/spreadsheetml/2006/main">
  <x:sheetFormatPr defaultRowHeight="15"/>
  <x:cols>
    <x:col min="1" max="1" width="18" hidden="0" customWidth="1"/>
    <x:col min="2" max="2" width="34" hidden="0" customWidth="1"/>
    <x:col min="3" max="3" width="65" hidden="0" customWidth="1"/>
    <x:col min="4" max="4" width="20" hidden="0" customWidth="1"/>
    <x:col min="5" max="5" width="15" hidden="0" customWidth="1"/>
  </x:cols>
  <x:sheetData>
    <x:row r="1">
      <x:c r="A1" s="30" t="str">
        <x:v>Sheet</x:v>
      </x:c>
      <x:c r="B1" s="31" t="str">
        <x:v>Field</x:v>
      </x:c>
      <x:c r="C1" s="31" t="str">
        <x:v>Ý nghĩa / cách cập nhật</x:v>
      </x:c>
      <x:c r="D1" s="31" t="str">
        <x:v>Unit / kiểu dữ liệu</x:v>
      </x:c>
      <x:c r="E1" s="32" t="str">
        <x:v>Bắt buộc</x:v>
      </x:c>
    </x:row>
    <x:row r="2">
      <x:c r="A2" s="47" t="str">
        <x:v>Models</x:v>
      </x:c>
      <x:c r="B2" s="27" t="str">
        <x:v>machine_id</x:v>
      </x:c>
      <x:c r="C2" s="27" t="str">
        <x:v>Khóa duy nhất. Hiện được đồng bộ theo series_code + tên model A-series.</x:v>
      </x:c>
      <x:c r="D2" s="27" t="str">
        <x:v>text</x:v>
      </x:c>
      <x:c r="E2" s="48" t="str">
        <x:v>Yes</x:v>
      </x:c>
    </x:row>
    <x:row r="3">
      <x:c r="A3" s="47" t="str">
        <x:v>Models</x:v>
      </x:c>
      <x:c r="B3" s="27" t="str">
        <x:v>series_code</x:v>
      </x:c>
      <x:c r="C3" s="27" t="str">
        <x:v>Mã dòng máy nội bộ; hiện giữ mã gốc để ổn định cấu trúc database.</x:v>
      </x:c>
      <x:c r="D3" s="27" t="str">
        <x:v>text</x:v>
      </x:c>
      <x:c r="E3" s="48" t="str">
        <x:v>Yes</x:v>
      </x:c>
    </x:row>
    <x:row r="4">
      <x:c r="A4" s="47" t="str">
        <x:v>Models</x:v>
      </x:c>
      <x:c r="B4" s="27" t="str">
        <x:v>model</x:v>
      </x:c>
      <x:c r="C4" s="27" t="str">
        <x:v>Tên model hiển thị. Quy ước hiện tại: chữ cái đầu B đổi thành A.</x:v>
      </x:c>
      <x:c r="D4" s="27" t="str">
        <x:v>text</x:v>
      </x:c>
      <x:c r="E4" s="48" t="str">
        <x:v>Yes</x:v>
      </x:c>
    </x:row>
    <x:row r="5">
      <x:c r="A5" s="47" t="str">
        <x:v>Models</x:v>
      </x:c>
      <x:c r="B5" s="27" t="str">
        <x:v>active</x:v>
      </x:c>
      <x:c r="C5" s="27" t="str">
        <x:v>TRUE nếu model đang sử dụng.</x:v>
      </x:c>
      <x:c r="D5" s="27" t="str">
        <x:v>boolean</x:v>
      </x:c>
      <x:c r="E5" s="48" t="str">
        <x:v>Yes</x:v>
      </x:c>
    </x:row>
    <x:row r="6">
      <x:c r="A6" s="47" t="str">
        <x:v>Models</x:v>
      </x:c>
      <x:c r="B6" s="27" t="str">
        <x:v>capacity_min_kg_h / max</x:v>
      </x:c>
      <x:c r="C6" s="27" t="str">
        <x:v>Dải công suất.</x:v>
      </x:c>
      <x:c r="D6" s="27" t="str">
        <x:v>kg/h</x:v>
      </x:c>
      <x:c r="E6" s="48" t="str">
        <x:v>Recommended</x:v>
      </x:c>
    </x:row>
    <x:row r="7">
      <x:c r="A7" s="47" t="str">
        <x:v>Models</x:v>
      </x:c>
      <x:c r="B7" s="27" t="str">
        <x:v>fineness_min / max</x:v>
      </x:c>
      <x:c r="C7" s="27" t="str">
        <x:v>Dải độ mịn, đọc cùng fineness_unit.</x:v>
      </x:c>
      <x:c r="D7" s="27" t="str">
        <x:v>number</x:v>
      </x:c>
      <x:c r="E7" s="48" t="str">
        <x:v>Recommended</x:v>
      </x:c>
    </x:row>
    <x:row r="8">
      <x:c r="A8" s="47" t="str">
        <x:v>Extra_Specs</x:v>
      </x:c>
      <x:c r="B8" s="27" t="str">
        <x:v>spec_key</x:v>
      </x:c>
      <x:c r="C8" s="27" t="str">
        <x:v>Thông số riêng của từng công nghệ.</x:v>
      </x:c>
      <x:c r="D8" s="27" t="str">
        <x:v>text</x:v>
      </x:c>
      <x:c r="E8" s="48" t="str">
        <x:v>Yes</x:v>
      </x:c>
    </x:row>
    <x:row r="9">
      <x:c r="A9" s="49" t="str">
        <x:v>Corrections</x:v>
      </x:c>
      <x:c r="B9" s="50" t="str">
        <x:v>status</x:v>
      </x:c>
      <x:c r="C9" s="50" t="str">
        <x:v>Trạng thái xác minh dữ liệu nguồn.</x:v>
      </x:c>
      <x:c r="D9" s="50" t="str">
        <x:v>list</x:v>
      </x:c>
      <x:c r="E9" s="51" t="str">
        <x:v>Yes</x:v>
      </x:c>
    </x:row>
    <x:row r="10">
      <x:c r="A10" s="76" t="str">
        <x:v>Materials</x:v>
      </x:c>
      <x:c r="B10" s="77" t="str">
        <x:v>status</x:v>
      </x:c>
      <x:c r="C10" s="77" t="str">
        <x:v>Chỉ dùng tự động các thuộc tính/tương thích có status=Verified.</x:v>
      </x:c>
      <x:c r="D10" s="77" t="str">
        <x:v>list</x:v>
      </x:c>
      <x:c r="E10" s="78" t="str">
        <x:v>Yes</x:v>
      </x:c>
    </x:row>
    <x:row r="11">
      <x:c r="A11" s="79" t="str">
        <x:v>Material_Series_Map</x:v>
      </x:c>
      <x:c r="B11" s="80" t="str">
        <x:v>score_adjustment</x:v>
      </x:c>
      <x:c r="C11" s="80" t="str">
        <x:v>Điểm điều chỉnh cho series theo material_id; không thay thế hard filter kỹ thuật.</x:v>
      </x:c>
      <x:c r="D11" s="80" t="str">
        <x:v>points</x:v>
      </x:c>
      <x:c r="E11" s="82" t="str">
        <x:v>Yes</x:v>
      </x:c>
    </x:row>
    <x:row r="12">
      <x:c r="A12" s="79" t="str">
        <x:v>AI_Config</x:v>
      </x:c>
      <x:c r="B12" s="80" t="str">
        <x:v>value</x:v>
      </x:c>
      <x:c r="C12" s="80" t="str">
        <x:v>Các trọng số và guardrail có thể cấu hình trước khi đưa vào production.</x:v>
      </x:c>
      <x:c r="D12" s="80" t="str">
        <x:v>mixed</x:v>
      </x:c>
      <x:c r="E12" s="82" t="str">
        <x:v>Yes</x:v>
      </x:c>
    </x:row>
    <x:row r="13">
      <x:c r="A13" s="79" t="str">
        <x:v>Selection_Rules</x:v>
      </x:c>
      <x:c r="B13" s="80" t="str">
        <x:v>logic</x:v>
      </x:c>
      <x:c r="C13" s="80" t="str">
        <x:v>Mô tả logic engine; app code nên implement deterministic, AI chỉ gọi engine.</x:v>
      </x:c>
      <x:c r="D13" s="80" t="str">
        <x:v>text</x:v>
      </x:c>
      <x:c r="E13" s="82" t="str">
        <x:v>Yes</x:v>
      </x:c>
    </x:row>
    <x:row r="14">
      <x:c r="A14" s="79" t="str">
        <x:v>AI_Field_Map</x:v>
      </x:c>
      <x:c r="B14" s="80" t="str">
        <x:v>field_name</x:v>
      </x:c>
      <x:c r="C14" s="80" t="str">
        <x:v>Trường chuẩn mà LLM cần xuất ra từ câu chat.</x:v>
      </x:c>
      <x:c r="D14" s="80" t="str">
        <x:v>text</x:v>
      </x:c>
      <x:c r="E14" s="82" t="str">
        <x:v>Yes</x:v>
      </x:c>
    </x:row>
    <x:row r="15">
      <x:c r="A15" s="79" t="str">
        <x:v>AI_Intents</x:v>
      </x:c>
      <x:c r="B15" s="80" t="str">
        <x:v>intent_id</x:v>
      </x:c>
      <x:c r="C15" s="80" t="str">
        <x:v>Intent để route câu hỏi: selection, compare, lookup...</x:v>
      </x:c>
      <x:c r="D15" s="80" t="str">
        <x:v>text</x:v>
      </x:c>
      <x:c r="E15" s="82" t="str">
        <x:v>Yes</x:v>
      </x:c>
    </x:row>
    <x:row r="16">
      <x:c r="A16" s="79" t="str">
        <x:v>AI_Prompt</x:v>
      </x:c>
      <x:c r="B16" s="80" t="str">
        <x:v>instruction</x:v>
      </x:c>
      <x:c r="C16" s="80" t="str">
        <x:v>Prompt/guardrail cho trợ lý AI; không được dùng để thay database.</x:v>
      </x:c>
      <x:c r="D16" s="80" t="str">
        <x:v>text</x:v>
      </x:c>
      <x:c r="E16" s="82" t="str">
        <x:v>Yes</x:v>
      </x:c>
    </x:row>
    <x:row r="17">
      <x:c r="A17" s="83" t="str">
        <x:v>AI_Selection_Test</x:v>
      </x:c>
      <x:c r="B17" s="84" t="str">
        <x:v>total_score</x:v>
      </x:c>
      <x:c r="C17" s="84" t="str">
        <x:v>Điểm test = technical score + material adjustment, giới hạn 0–100.</x:v>
      </x:c>
      <x:c r="D17" s="84" t="str">
        <x:v>points</x:v>
      </x:c>
      <x:c r="E17" s="85" t="str">
        <x:v>Derived</x:v>
      </x:c>
    </x:row>
  </x:sheetData>
  <x:pageMargins left="0.7" right="0.7" top="0.75" bottom="0.75" header="0.3" footer="0.3"/>
  <x:tableParts count="1">
    <x:tablePart xmlns:r="http://schemas.openxmlformats.org/officeDocument/2006/relationships" r:id="R2f111eac0e154bc8"/>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22" hidden="0" customWidth="1"/>
    <x:col min="4" max="4" width="22" hidden="0" customWidth="1"/>
    <x:col min="5" max="5" width="28" hidden="0" customWidth="1"/>
    <x:col min="6" max="6" width="16" hidden="0" customWidth="1"/>
    <x:col min="7" max="7" width="62" hidden="0" customWidth="1"/>
    <x:col min="8" max="8" width="12" hidden="0" customWidth="1"/>
  </x:cols>
  <x:sheetData>
    <x:row r="1">
      <x:c r="A1" s="30" t="str">
        <x:v>version</x:v>
      </x:c>
      <x:c r="B1" s="31" t="str">
        <x:v>date</x:v>
      </x:c>
      <x:c r="C1" s="31" t="str">
        <x:v>editor</x:v>
      </x:c>
      <x:c r="D1" s="31" t="str">
        <x:v>sheet</x:v>
      </x:c>
      <x:c r="E1" s="31" t="str">
        <x:v>record_id</x:v>
      </x:c>
      <x:c r="F1" s="31" t="str">
        <x:v>change_type</x:v>
      </x:c>
      <x:c r="G1" s="31" t="str">
        <x:v>description</x:v>
      </x:c>
      <x:c r="H1" s="32" t="str">
        <x:v>verified</x:v>
      </x:c>
    </x:row>
    <x:row r="2">
      <x:c r="A2" s="33" t="str">
        <x:v>1.0</x:v>
      </x:c>
      <x:c r="B2" s="34" t="str">
        <x:v>2026-09-24</x:v>
      </x:c>
      <x:c r="C2" s="34" t="str">
        <x:v>OpenAI / DTC Product</x:v>
      </x:c>
      <x:c r="D2" s="34" t="str">
        <x:v>All</x:v>
      </x:c>
      <x:c r="E2" s="34" t="str">
        <x:v>Initial</x:v>
      </x:c>
      <x:c r="F2" s="34" t="str">
        <x:v>Created</x:v>
      </x:c>
      <x:c r="G2" s="34" t="str">
        <x:v>Tạo workbook editable từ database máy nghiền.</x:v>
      </x:c>
      <x:c r="H2" s="35" t="str">
        <x:v>Yes</x:v>
      </x:c>
    </x:row>
    <x:row r="3">
      <x:c r="A3" s="36" t="str">
        <x:v>1.1</x:v>
      </x:c>
      <x:c r="B3" s="37" t="str">
        <x:v>2026-09-24</x:v>
      </x:c>
      <x:c r="C3" s="37" t="str">
        <x:v>DTC Product</x:v>
      </x:c>
      <x:c r="D3" s="37" t="str">
        <x:v>Models / Extra_Specs</x:v>
      </x:c>
      <x:c r="E3" s="37" t="str">
        <x:v>All models</x:v>
      </x:c>
      <x:c r="F3" s="37" t="str">
        <x:v>Updated</x:v>
      </x:c>
      <x:c r="G3" s="37" t="str">
        <x:v>Đổi chữ cái đầu tiên của toàn bộ tên model từ B thành A và đồng bộ machine_id.</x:v>
      </x:c>
      <x:c r="H3" s="38" t="str">
        <x:v>Yes</x:v>
      </x:c>
    </x:row>
    <x:row r="4">
      <x:c r="A4" t="str">
        <x:v>2.0</x:v>
      </x:c>
      <x:c r="B4" t="str">
        <x:v>2026-09-24</x:v>
      </x:c>
      <x:c r="C4" t="str">
        <x:v>DTC Product</x:v>
      </x:c>
      <x:c r="D4" t="str">
        <x:v>AI-ready sheets</x:v>
      </x:c>
      <x:c r="E4" t="str">
        <x:v>AI module</x:v>
      </x:c>
      <x:c r="F4" t="str">
        <x:v>Updated</x:v>
      </x:c>
      <x:c r="G4" t="str">
        <x:v>Bổ sung Materials, Material_Series_Map, AI_Config, Selection_Rules, AI_Field_Map, AI_Intents, AI_Prompt, Chat_Examples và AI_Selection_Test để hỗ trợ Chat với trợ lý AI.</x:v>
      </x:c>
      <x:c r="H4" t="str">
        <x:v>Yes</x:v>
      </x:c>
    </x:row>
  </x:sheetData>
  <x:pageMargins left="0.7" right="0.7" top="0.75" bottom="0.75" header="0.3" footer="0.3"/>
  <x:tableParts count="1">
    <x:tablePart xmlns:r="http://schemas.openxmlformats.org/officeDocument/2006/relationships" r:id="Re6998fa592f14cd3"/>
  </x:tableParts>
</x:worksheet>
</file>

<file path=xl/worksheets/sheet9.xml><?xml version="1.0" encoding="utf-8"?>
<x:worksheet xmlns:x="http://schemas.openxmlformats.org/spreadsheetml/2006/main">
  <x:sheetFormatPr defaultRowHeight="15"/>
  <x:sheetData>
    <x:row r="1">
      <x:c r="A1" s="20" t="str">
        <x:v>series_code</x:v>
      </x:c>
      <x:c r="B1" s="20" t="str">
        <x:v>fineness_unit</x:v>
      </x:c>
      <x:c r="C1" s="20" t="str">
        <x:v>correction_status</x:v>
      </x:c>
      <x:c r="D1" s="20" t="str">
        <x:v>active</x:v>
      </x:c>
    </x:row>
    <x:row r="2">
      <x:c r="A2" t="str">
        <x:v>BSC_COARSE</x:v>
      </x:c>
      <x:c r="B2" t="str">
        <x:v>mm</x:v>
      </x:c>
      <x:c r="C2" t="str">
        <x:v>Open</x:v>
      </x:c>
      <x:c r="D2" s="52" t="b">
        <x:v>1</x:v>
      </x:c>
    </x:row>
    <x:row r="3">
      <x:c r="A3" t="str">
        <x:v>BS_SMALL_HAMMER</x:v>
      </x:c>
      <x:c r="B3" t="str">
        <x:v>mesh</x:v>
      </x:c>
      <x:c r="C3" t="str">
        <x:v>Verified</x:v>
      </x:c>
      <x:c r="D3" s="52" t="b">
        <x:v>0</x:v>
      </x:c>
    </x:row>
    <x:row r="4">
      <x:c r="A4" t="str">
        <x:v>BSU_UNIVERSAL</x:v>
      </x:c>
      <x:c r="B4" t="str">
        <x:v>µm</x:v>
      </x:c>
      <x:c r="C4" t="str">
        <x:v>Resolved</x:v>
      </x:c>
      <x:c r="D4" t="str"/>
    </x:row>
    <x:row r="5">
      <x:c r="A5" t="str">
        <x:v>BSG_UNIVERSAL_SYSTEM</x:v>
      </x:c>
      <x:c r="B5" t="str"/>
      <x:c r="C5" t="str"/>
      <x:c r="D5" t="str"/>
    </x:row>
    <x:row r="6">
      <x:c r="A6" t="str">
        <x:v>BSP_ULTRAFINE</x:v>
      </x:c>
      <x:c r="B6" t="str"/>
      <x:c r="C6" t="str"/>
      <x:c r="D6" t="str"/>
    </x:row>
    <x:row r="7">
      <x:c r="A7" t="str">
        <x:v>BSZ_PIN</x:v>
      </x:c>
      <x:c r="B7" t="str"/>
      <x:c r="C7" t="str"/>
      <x:c r="D7" t="str"/>
    </x:row>
    <x:row r="8">
      <x:c r="A8" t="str">
        <x:v>BSF_BS_HAMMER</x:v>
      </x:c>
      <x:c r="B8" t="str"/>
      <x:c r="C8" t="str"/>
      <x:c r="D8" t="str"/>
    </x:row>
    <x:row r="9">
      <x:c r="A9" t="str">
        <x:v>BSDF_MULTISTAGE</x:v>
      </x:c>
      <x:c r="B9" t="str"/>
      <x:c r="C9" t="str"/>
      <x:c r="D9" t="str"/>
    </x:row>
    <x:row r="10">
      <x:c r="A10" t="str">
        <x:v>BS_ROLLER</x:v>
      </x:c>
      <x:c r="B10" t="str"/>
      <x:c r="C10" t="str"/>
      <x:c r="D10" t="str"/>
    </x:row>
    <x:row r="11">
      <x:c r="A11" t="str">
        <x:v>BSK_JET</x:v>
      </x:c>
      <x:c r="B11" t="str"/>
      <x:c r="C11" t="str"/>
      <x:c r="D11" t="str"/>
    </x:row>
    <x:row r="12">
      <x:c r="A12" t="str">
        <x:v>BS_CRYOGENIC</x:v>
      </x:c>
      <x:c r="B12" t="str"/>
      <x:c r="C12" t="str"/>
      <x:c r="D12" t="str"/>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16" hidden="0" customWidth="1"/>
    <x:col min="5" max="5" width="14" hidden="0" customWidth="1"/>
    <x:col min="6" max="6" width="11" hidden="0" customWidth="1"/>
    <x:col min="7" max="7" width="11" hidden="0" customWidth="1"/>
    <x:col min="8" max="8" width="16" hidden="0" customWidth="1"/>
    <x:col min="9" max="9" width="10" hidden="0" customWidth="1"/>
    <x:col min="10" max="10" width="15" hidden="0" customWidth="1"/>
    <x:col min="11" max="11" width="11" hidden="0" customWidth="1"/>
    <x:col min="12" max="12" width="12" hidden="0" customWidth="1"/>
    <x:col min="13" max="13" width="24" hidden="0" customWidth="1"/>
    <x:col min="14" max="14" width="18" hidden="0" customWidth="1"/>
    <x:col min="15" max="15" width="18" hidden="0" customWidth="1"/>
    <x:col min="16" max="16" width="52" hidden="0" customWidth="1"/>
  </x:cols>
  <x:sheetData>
    <x:row r="1">
      <x:c r="A1" s="95" t="str">
        <x:v>material_id</x:v>
      </x:c>
      <x:c r="B1" s="96" t="str">
        <x:v>name_vi</x:v>
      </x:c>
      <x:c r="C1" s="96" t="str">
        <x:v>name_en</x:v>
      </x:c>
      <x:c r="D1" s="96" t="str">
        <x:v>category</x:v>
      </x:c>
      <x:c r="E1" s="96" t="str">
        <x:v>hardness</x:v>
      </x:c>
      <x:c r="F1" s="96" t="str">
        <x:v>fibrous</x:v>
      </x:c>
      <x:c r="G1" s="96" t="str">
        <x:v>oily</x:v>
      </x:c>
      <x:c r="H1" s="96" t="str">
        <x:v>sticky_or_paste</x:v>
      </x:c>
      <x:c r="I1" s="96" t="str">
        <x:v>wet</x:v>
      </x:c>
      <x:c r="J1" s="96" t="str">
        <x:v>heat_sensitive</x:v>
      </x:c>
      <x:c r="K1" s="96" t="str">
        <x:v>brittle</x:v>
      </x:c>
      <x:c r="L1" s="96" t="str">
        <x:v>crystalline</x:v>
      </x:c>
      <x:c r="M1" s="96" t="str">
        <x:v>source_candidate_series</x:v>
      </x:c>
      <x:c r="N1" s="96" t="str">
        <x:v>source_basis</x:v>
      </x:c>
      <x:c r="O1" s="96" t="str">
        <x:v>status</x:v>
      </x:c>
      <x:c r="P1" s="97" t="str">
        <x:v>notes</x:v>
      </x:c>
    </x:row>
    <x:row r="2">
      <x:c r="A2" s="79" t="str">
        <x:v>SESAME</x:v>
      </x:c>
      <x:c r="B2" s="80" t="str">
        <x:v>Vừng</x:v>
      </x:c>
      <x:c r="C2" s="80" t="str">
        <x:v>Sesame</x:v>
      </x:c>
      <x:c r="D2" s="80" t="str">
        <x:v>food</x:v>
      </x:c>
      <x:c r="E2" s="80" t="str"/>
      <x:c r="F2" s="81" t="b">
        <x:v>0</x:v>
      </x:c>
      <x:c r="G2" s="81" t="b">
        <x:v>1</x:v>
      </x:c>
      <x:c r="H2" s="81" t="b">
        <x:v>0</x:v>
      </x:c>
      <x:c r="I2" s="81" t="b">
        <x:v>0</x:v>
      </x:c>
      <x:c r="J2" s="80" t="str"/>
      <x:c r="K2" s="81" t="b">
        <x:v>0</x:v>
      </x:c>
      <x:c r="L2" s="81" t="b">
        <x:v>0</x:v>
      </x:c>
      <x:c r="M2" s="80" t="str">
        <x:v>BS_ROLLER</x:v>
      </x:c>
      <x:c r="N2" s="80" t="str">
        <x:v>PDF p.18</x:v>
      </x:c>
      <x:c r="O2" s="80" t="str">
        <x:v>Verified</x:v>
      </x:c>
      <x:c r="P2" s="82" t="str">
        <x:v>PDF nêu vừng là ví dụ nguyên liệu dầu phù hợp máy nghiền con lăn.</x:v>
      </x:c>
    </x:row>
    <x:row r="3">
      <x:c r="A3" s="79" t="str">
        <x:v>PEANUT</x:v>
      </x:c>
      <x:c r="B3" s="80" t="str">
        <x:v>Lạc / Đậu phộng</x:v>
      </x:c>
      <x:c r="C3" s="80" t="str">
        <x:v>Peanut</x:v>
      </x:c>
      <x:c r="D3" s="80" t="str">
        <x:v>food</x:v>
      </x:c>
      <x:c r="E3" s="80" t="str"/>
      <x:c r="F3" s="81" t="b">
        <x:v>0</x:v>
      </x:c>
      <x:c r="G3" s="81" t="b">
        <x:v>1</x:v>
      </x:c>
      <x:c r="H3" s="81" t="b">
        <x:v>0</x:v>
      </x:c>
      <x:c r="I3" s="81" t="b">
        <x:v>0</x:v>
      </x:c>
      <x:c r="J3" s="80" t="str"/>
      <x:c r="K3" s="81" t="b">
        <x:v>0</x:v>
      </x:c>
      <x:c r="L3" s="81" t="b">
        <x:v>0</x:v>
      </x:c>
      <x:c r="M3" s="80" t="str">
        <x:v>BS_ROLLER</x:v>
      </x:c>
      <x:c r="N3" s="80" t="str">
        <x:v>PDF p.18</x:v>
      </x:c>
      <x:c r="O3" s="80" t="str">
        <x:v>Verified</x:v>
      </x:c>
      <x:c r="P3" s="82" t="str">
        <x:v>PDF nêu lạc/đậu phộng là ví dụ nguyên liệu dầu phù hợp máy nghiền con lăn.</x:v>
      </x:c>
    </x:row>
    <x:row r="4">
      <x:c r="A4" s="79" t="str">
        <x:v>ALMOND</x:v>
      </x:c>
      <x:c r="B4" s="80" t="str">
        <x:v>Hạnh nhân</x:v>
      </x:c>
      <x:c r="C4" s="80" t="str">
        <x:v>Almond</x:v>
      </x:c>
      <x:c r="D4" s="80" t="str">
        <x:v>food</x:v>
      </x:c>
      <x:c r="E4" s="80" t="str"/>
      <x:c r="F4" s="81" t="b">
        <x:v>0</x:v>
      </x:c>
      <x:c r="G4" s="81" t="b">
        <x:v>1</x:v>
      </x:c>
      <x:c r="H4" s="81" t="b">
        <x:v>0</x:v>
      </x:c>
      <x:c r="I4" s="81" t="b">
        <x:v>0</x:v>
      </x:c>
      <x:c r="J4" s="80" t="str"/>
      <x:c r="K4" s="81" t="b">
        <x:v>0</x:v>
      </x:c>
      <x:c r="L4" s="81" t="b">
        <x:v>0</x:v>
      </x:c>
      <x:c r="M4" s="80" t="str">
        <x:v>BS_ROLLER</x:v>
      </x:c>
      <x:c r="N4" s="80" t="str">
        <x:v>PDF p.18</x:v>
      </x:c>
      <x:c r="O4" s="80" t="str">
        <x:v>Verified</x:v>
      </x:c>
      <x:c r="P4" s="82" t="str">
        <x:v>PDF nêu hạnh nhân là ví dụ nguyên liệu dầu phù hợp máy nghiền con lăn.</x:v>
      </x:c>
    </x:row>
    <x:row r="5">
      <x:c r="A5" s="79" t="str">
        <x:v>SPICE_POWDER</x:v>
      </x:c>
      <x:c r="B5" s="80" t="str">
        <x:v>Bột gia vị</x:v>
      </x:c>
      <x:c r="C5" s="80" t="str">
        <x:v>Spice powder</x:v>
      </x:c>
      <x:c r="D5" s="80" t="str">
        <x:v>food</x:v>
      </x:c>
      <x:c r="E5" s="80" t="str"/>
      <x:c r="F5" s="81" t="b">
        <x:v>0</x:v>
      </x:c>
      <x:c r="G5" s="80" t="str"/>
      <x:c r="H5" s="80" t="str"/>
      <x:c r="I5" s="81" t="b">
        <x:v>0</x:v>
      </x:c>
      <x:c r="J5" s="80" t="str"/>
      <x:c r="K5" s="81" t="b">
        <x:v>0</x:v>
      </x:c>
      <x:c r="L5" s="81" t="b">
        <x:v>0</x:v>
      </x:c>
      <x:c r="M5" s="80" t="str">
        <x:v>BSZ_PIN</x:v>
      </x:c>
      <x:c r="N5" s="80" t="str">
        <x:v>PDF p.12</x:v>
      </x:c>
      <x:c r="O5" s="80" t="str">
        <x:v>Verified</x:v>
      </x:c>
      <x:c r="P5" s="82" t="str">
        <x:v>Loại A của BSZ được mô tả phù hợp bột có độ chảy kém như bột gia vị.</x:v>
      </x:c>
    </x:row>
    <x:row r="6">
      <x:c r="A6" s="79" t="str">
        <x:v>CACAO</x:v>
      </x:c>
      <x:c r="B6" s="80" t="str">
        <x:v>Cacao</x:v>
      </x:c>
      <x:c r="C6" s="80" t="str">
        <x:v>Cacao</x:v>
      </x:c>
      <x:c r="D6" s="80" t="str">
        <x:v>food</x:v>
      </x:c>
      <x:c r="E6" s="80" t="str"/>
      <x:c r="F6" s="81" t="b">
        <x:v>0</x:v>
      </x:c>
      <x:c r="G6" s="80" t="str"/>
      <x:c r="H6" s="81" t="b">
        <x:v>1</x:v>
      </x:c>
      <x:c r="I6" s="80" t="str"/>
      <x:c r="J6" s="80" t="str"/>
      <x:c r="K6" s="81" t="b">
        <x:v>0</x:v>
      </x:c>
      <x:c r="L6" s="81" t="b">
        <x:v>0</x:v>
      </x:c>
      <x:c r="M6" s="80" t="str">
        <x:v>BSZ_PIN</x:v>
      </x:c>
      <x:c r="N6" s="80" t="str">
        <x:v>PDF p.13</x:v>
      </x:c>
      <x:c r="O6" s="80" t="str">
        <x:v>Verified</x:v>
      </x:c>
      <x:c r="P6" s="82" t="str">
        <x:v>PDF nêu BSZ có thể phù hợp sản phẩm dạng nhão như bột mịn cacao.</x:v>
      </x:c>
    </x:row>
    <x:row r="7">
      <x:c r="A7" s="79" t="str">
        <x:v>FRUIT</x:v>
      </x:c>
      <x:c r="B7" s="80" t="str">
        <x:v>Trái cây</x:v>
      </x:c>
      <x:c r="C7" s="80" t="str">
        <x:v>Fruit</x:v>
      </x:c>
      <x:c r="D7" s="80" t="str">
        <x:v>food</x:v>
      </x:c>
      <x:c r="E7" s="80" t="str"/>
      <x:c r="F7" s="81" t="b">
        <x:v>0</x:v>
      </x:c>
      <x:c r="G7" s="80" t="str"/>
      <x:c r="H7" s="81" t="b">
        <x:v>0</x:v>
      </x:c>
      <x:c r="I7" s="80" t="str"/>
      <x:c r="J7" s="81" t="b">
        <x:v>1</x:v>
      </x:c>
      <x:c r="K7" s="81" t="b">
        <x:v>0</x:v>
      </x:c>
      <x:c r="L7" s="81" t="b">
        <x:v>0</x:v>
      </x:c>
      <x:c r="M7" s="80" t="str">
        <x:v>BS_CRYOGENIC</x:v>
      </x:c>
      <x:c r="N7" s="80" t="str">
        <x:v>PDF p.20</x:v>
      </x:c>
      <x:c r="O7" s="80" t="str">
        <x:v>Verified</x:v>
      </x:c>
      <x:c r="P7" s="82" t="str">
        <x:v>PDF nêu máy nghiền làm lạnh dùng cho vật liệu nhạy nhiệt như trái cây.</x:v>
      </x:c>
    </x:row>
    <x:row r="8">
      <x:c r="A8" s="79" t="str">
        <x:v>VEGETABLE</x:v>
      </x:c>
      <x:c r="B8" s="80" t="str">
        <x:v>Rau</x:v>
      </x:c>
      <x:c r="C8" s="80" t="str">
        <x:v>Vegetable</x:v>
      </x:c>
      <x:c r="D8" s="80" t="str">
        <x:v>food</x:v>
      </x:c>
      <x:c r="E8" s="80" t="str"/>
      <x:c r="F8" s="81" t="b">
        <x:v>0</x:v>
      </x:c>
      <x:c r="G8" s="80" t="str"/>
      <x:c r="H8" s="81" t="b">
        <x:v>0</x:v>
      </x:c>
      <x:c r="I8" s="80" t="str"/>
      <x:c r="J8" s="81" t="b">
        <x:v>1</x:v>
      </x:c>
      <x:c r="K8" s="81" t="b">
        <x:v>0</x:v>
      </x:c>
      <x:c r="L8" s="81" t="b">
        <x:v>0</x:v>
      </x:c>
      <x:c r="M8" s="80" t="str">
        <x:v>BS_CRYOGENIC</x:v>
      </x:c>
      <x:c r="N8" s="80" t="str">
        <x:v>PDF p.20</x:v>
      </x:c>
      <x:c r="O8" s="80" t="str">
        <x:v>Verified</x:v>
      </x:c>
      <x:c r="P8" s="82" t="str">
        <x:v>PDF nêu máy nghiền làm lạnh dùng cho vật liệu nhạy nhiệt như rau.</x:v>
      </x:c>
    </x:row>
    <x:row r="9">
      <x:c r="A9" s="79" t="str">
        <x:v>HERB</x:v>
      </x:c>
      <x:c r="B9" s="80" t="str">
        <x:v>Thảo mộc</x:v>
      </x:c>
      <x:c r="C9" s="80" t="str">
        <x:v>Herb</x:v>
      </x:c>
      <x:c r="D9" s="80" t="str">
        <x:v>food/pharma</x:v>
      </x:c>
      <x:c r="E9" s="80" t="str"/>
      <x:c r="F9" s="81" t="b">
        <x:v>1</x:v>
      </x:c>
      <x:c r="G9" s="80" t="str"/>
      <x:c r="H9" s="81" t="b">
        <x:v>0</x:v>
      </x:c>
      <x:c r="I9" s="80" t="str"/>
      <x:c r="J9" s="81" t="b">
        <x:v>1</x:v>
      </x:c>
      <x:c r="K9" s="81" t="b">
        <x:v>0</x:v>
      </x:c>
      <x:c r="L9" s="81" t="b">
        <x:v>0</x:v>
      </x:c>
      <x:c r="M9" s="80" t="str">
        <x:v>BS_CRYOGENIC</x:v>
      </x:c>
      <x:c r="N9" s="80" t="str">
        <x:v>PDF p.20</x:v>
      </x:c>
      <x:c r="O9" s="80" t="str">
        <x:v>Verified</x:v>
      </x:c>
      <x:c r="P9" s="82" t="str">
        <x:v>PDF nêu máy nghiền làm lạnh dùng cho thảo mộc; fibrous là trường để người dùng xác minh thêm.</x:v>
      </x:c>
    </x:row>
    <x:row r="10">
      <x:c r="A10" s="79" t="str">
        <x:v>MEDICINE</x:v>
      </x:c>
      <x:c r="B10" s="80" t="str">
        <x:v>Dược liệu / Thuốc</x:v>
      </x:c>
      <x:c r="C10" s="80" t="str">
        <x:v>Medicine</x:v>
      </x:c>
      <x:c r="D10" s="80" t="str">
        <x:v>pharma</x:v>
      </x:c>
      <x:c r="E10" s="80" t="str"/>
      <x:c r="F10" s="81" t="b">
        <x:v>0</x:v>
      </x:c>
      <x:c r="G10" s="80" t="str"/>
      <x:c r="H10" s="81" t="b">
        <x:v>0</x:v>
      </x:c>
      <x:c r="I10" s="80" t="str"/>
      <x:c r="J10" s="81" t="b">
        <x:v>1</x:v>
      </x:c>
      <x:c r="K10" s="81" t="b">
        <x:v>0</x:v>
      </x:c>
      <x:c r="L10" s="81" t="b">
        <x:v>0</x:v>
      </x:c>
      <x:c r="M10" s="80" t="str">
        <x:v>BS_CRYOGENIC</x:v>
      </x:c>
      <x:c r="N10" s="80" t="str">
        <x:v>PDF p.20</x:v>
      </x:c>
      <x:c r="O10" s="80" t="str">
        <x:v>Verified</x:v>
      </x:c>
      <x:c r="P10" s="82" t="str">
        <x:v>PDF nêu máy nghiền làm lạnh dùng cho thuốc.</x:v>
      </x:c>
    </x:row>
    <x:row r="11">
      <x:c r="A11" s="79" t="str">
        <x:v>PLASTIC</x:v>
      </x:c>
      <x:c r="B11" s="80" t="str">
        <x:v>Nhựa</x:v>
      </x:c>
      <x:c r="C11" s="80" t="str">
        <x:v>Plastic</x:v>
      </x:c>
      <x:c r="D11" s="80" t="str">
        <x:v>industrial</x:v>
      </x:c>
      <x:c r="E11" s="80" t="str"/>
      <x:c r="F11" s="81" t="b">
        <x:v>0</x:v>
      </x:c>
      <x:c r="G11" s="80" t="str"/>
      <x:c r="H11" s="81" t="b">
        <x:v>0</x:v>
      </x:c>
      <x:c r="I11" s="80" t="str"/>
      <x:c r="J11" s="81" t="b">
        <x:v>1</x:v>
      </x:c>
      <x:c r="K11" s="81" t="b">
        <x:v>0</x:v>
      </x:c>
      <x:c r="L11" s="81" t="b">
        <x:v>0</x:v>
      </x:c>
      <x:c r="M11" s="80" t="str">
        <x:v>BS_CRYOGENIC</x:v>
      </x:c>
      <x:c r="N11" s="80" t="str">
        <x:v>PDF p.20</x:v>
      </x:c>
      <x:c r="O11" s="80" t="str">
        <x:v>Verified</x:v>
      </x:c>
      <x:c r="P11" s="82" t="str">
        <x:v>PDF nêu máy nghiền làm lạnh dùng cho nhựa.</x:v>
      </x:c>
    </x:row>
    <x:row r="12">
      <x:c r="A12" s="79" t="str">
        <x:v>RUBBER</x:v>
      </x:c>
      <x:c r="B12" s="80" t="str">
        <x:v>Cao su</x:v>
      </x:c>
      <x:c r="C12" s="80" t="str">
        <x:v>Rubber</x:v>
      </x:c>
      <x:c r="D12" s="80" t="str">
        <x:v>industrial</x:v>
      </x:c>
      <x:c r="E12" s="80" t="str"/>
      <x:c r="F12" s="81" t="b">
        <x:v>0</x:v>
      </x:c>
      <x:c r="G12" s="80" t="str"/>
      <x:c r="H12" s="81" t="b">
        <x:v>0</x:v>
      </x:c>
      <x:c r="I12" s="80" t="str"/>
      <x:c r="J12" s="81" t="b">
        <x:v>1</x:v>
      </x:c>
      <x:c r="K12" s="81" t="b">
        <x:v>0</x:v>
      </x:c>
      <x:c r="L12" s="81" t="b">
        <x:v>0</x:v>
      </x:c>
      <x:c r="M12" s="80" t="str">
        <x:v>BS_CRYOGENIC</x:v>
      </x:c>
      <x:c r="N12" s="80" t="str">
        <x:v>PDF p.20</x:v>
      </x:c>
      <x:c r="O12" s="80" t="str">
        <x:v>Verified</x:v>
      </x:c>
      <x:c r="P12" s="82" t="str">
        <x:v>PDF nêu máy nghiền làm lạnh dùng cho cao su.</x:v>
      </x:c>
    </x:row>
    <x:row r="13">
      <x:c r="A13" s="79" t="str">
        <x:v>PEPPER</x:v>
      </x:c>
      <x:c r="B13" s="80" t="str">
        <x:v>Tiêu</x:v>
      </x:c>
      <x:c r="C13" s="80" t="str">
        <x:v>Pepper</x:v>
      </x:c>
      <x:c r="D13" s="80" t="str">
        <x:v>food</x:v>
      </x:c>
      <x:c r="E13" s="80" t="str"/>
      <x:c r="F13" s="80" t="str"/>
      <x:c r="G13" s="80" t="str"/>
      <x:c r="H13" s="80" t="str"/>
      <x:c r="I13" s="80" t="str"/>
      <x:c r="J13" s="80" t="str"/>
      <x:c r="K13" s="80" t="str"/>
      <x:c r="L13" s="80" t="str"/>
      <x:c r="M13" s="80" t="str"/>
      <x:c r="N13" s="80" t="str">
        <x:v>User example</x:v>
      </x:c>
      <x:c r="O13" s="80" t="str">
        <x:v>Needs validation</x:v>
      </x:c>
      <x:c r="P13" s="82" t="str">
        <x:v>Được thêm để phục vụ chatbot theo ví dụ sử dụng; đặc tính nguyên liệu cần DTC xác minh.</x:v>
      </x:c>
    </x:row>
    <x:row r="14">
      <x:c r="A14" s="79" t="str">
        <x:v>TEA</x:v>
      </x:c>
      <x:c r="B14" s="80" t="str">
        <x:v>Trà</x:v>
      </x:c>
      <x:c r="C14" s="80" t="str">
        <x:v>Tea</x:v>
      </x:c>
      <x:c r="D14" s="80" t="str">
        <x:v>food</x:v>
      </x:c>
      <x:c r="E14" s="80" t="str"/>
      <x:c r="F14" s="80" t="str"/>
      <x:c r="G14" s="80" t="str"/>
      <x:c r="H14" s="80" t="str"/>
      <x:c r="I14" s="80" t="str"/>
      <x:c r="J14" s="80" t="str"/>
      <x:c r="K14" s="80" t="str"/>
      <x:c r="L14" s="80" t="str"/>
      <x:c r="M14" s="80" t="str"/>
      <x:c r="N14" s="80" t="str">
        <x:v>App use case</x:v>
      </x:c>
      <x:c r="O14" s="80" t="str">
        <x:v>Needs validation</x:v>
      </x:c>
      <x:c r="P14" s="82" t="str">
        <x:v>Được thêm để thuận tiện nhập liệu; đặc tính nghiền cần DTC xác minh theo từng loại trà.</x:v>
      </x:c>
    </x:row>
    <x:row r="15">
      <x:c r="A15" s="83" t="str">
        <x:v>SUGAR</x:v>
      </x:c>
      <x:c r="B15" s="84" t="str">
        <x:v>Đường</x:v>
      </x:c>
      <x:c r="C15" s="84" t="str">
        <x:v>Sugar</x:v>
      </x:c>
      <x:c r="D15" s="84" t="str">
        <x:v>food</x:v>
      </x:c>
      <x:c r="E15" s="84" t="str"/>
      <x:c r="F15" s="84" t="str"/>
      <x:c r="G15" s="84" t="str"/>
      <x:c r="H15" s="84" t="str"/>
      <x:c r="I15" s="84" t="str"/>
      <x:c r="J15" s="84" t="str"/>
      <x:c r="K15" s="84" t="str"/>
      <x:c r="L15" s="84" t="str"/>
      <x:c r="M15" s="84" t="str"/>
      <x:c r="N15" s="84" t="str">
        <x:v>App use case</x:v>
      </x:c>
      <x:c r="O15" s="84" t="str">
        <x:v>Needs validation</x:v>
      </x:c>
      <x:c r="P15" s="85" t="str">
        <x:v>Được thêm để thuận tiện nhập liệu; đặc tính và công nghệ phù hợp cần xác minh.</x:v>
      </x:c>
    </x:row>
  </x:sheetData>
  <x:dataValidations count="8">
    <x:dataValidation type="list" sqref="O2:O200">
      <x:formula1>"Verified,Needs validation,Deprecated"</x:formula1>
    </x:dataValidation>
    <x:dataValidation type="list" sqref="F2:F200">
      <x:formula1>"true,false,"</x:formula1>
    </x:dataValidation>
    <x:dataValidation type="list" sqref="G2:G200">
      <x:formula1>"true,false,"</x:formula1>
    </x:dataValidation>
    <x:dataValidation type="list" sqref="H2:H200">
      <x:formula1>"true,false,"</x:formula1>
    </x:dataValidation>
    <x:dataValidation type="list" sqref="I2:I200">
      <x:formula1>"true,false,"</x:formula1>
    </x:dataValidation>
    <x:dataValidation type="list" sqref="J2:J200">
      <x:formula1>"true,false,"</x:formula1>
    </x:dataValidation>
    <x:dataValidation type="list" sqref="K2:K200">
      <x:formula1>"true,false,"</x:formula1>
    </x:dataValidation>
    <x:dataValidation type="list" sqref="L2:L200">
      <x:formula1>"true,false,"</x:formula1>
    </x:dataValidation>
  </x:dataValidations>
  <x:pageMargins left="0.7" right="0.7" top="0.75" bottom="0.75" header="0.3" footer="0.3"/>
  <x:tableParts count="1">
    <x:tablePart xmlns:r="http://schemas.openxmlformats.org/officeDocument/2006/relationships" r:id="Rd274c67ab2bd4e86"/>
  </x:tableParts>
</x:worksheet>
</file>

<file path=xl/worksheets/sheet11.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20" hidden="0" customWidth="1"/>
    <x:col min="5" max="5" width="56" hidden="0" customWidth="1"/>
    <x:col min="6" max="6" width="18" hidden="0" customWidth="1"/>
    <x:col min="7" max="7" width="18" hidden="0" customWidth="1"/>
  </x:cols>
  <x:sheetData>
    <x:row r="1">
      <x:c r="A1" s="95" t="str">
        <x:v>material_id</x:v>
      </x:c>
      <x:c r="B1" s="96" t="str">
        <x:v>series_code</x:v>
      </x:c>
      <x:c r="C1" s="96" t="str">
        <x:v>score_adjustment</x:v>
      </x:c>
      <x:c r="D1" s="96" t="str">
        <x:v>basis_type</x:v>
      </x:c>
      <x:c r="E1" s="96" t="str">
        <x:v>reason_vi</x:v>
      </x:c>
      <x:c r="F1" s="96" t="str">
        <x:v>source_basis</x:v>
      </x:c>
      <x:c r="G1" s="97" t="str">
        <x:v>status</x:v>
      </x:c>
    </x:row>
    <x:row r="2">
      <x:c r="A2" s="79" t="str">
        <x:v>SESAME</x:v>
      </x:c>
      <x:c r="B2" s="80" t="str">
        <x:v>BS_ROLLER</x:v>
      </x:c>
      <x:c r="C2" s="80" t="n">
        <x:v>20</x:v>
      </x:c>
      <x:c r="D2" s="80" t="str">
        <x:v>source_supported</x:v>
      </x:c>
      <x:c r="E2" s="80" t="str">
        <x:v>Nguyên liệu dầu; PDF nêu vừng là ví dụ ứng dụng máy nghiền con lăn.</x:v>
      </x:c>
      <x:c r="F2" s="80" t="str">
        <x:v>PDF p.18</x:v>
      </x:c>
      <x:c r="G2" s="82" t="str">
        <x:v>Verified</x:v>
      </x:c>
    </x:row>
    <x:row r="3">
      <x:c r="A3" s="79" t="str">
        <x:v>PEANUT</x:v>
      </x:c>
      <x:c r="B3" s="80" t="str">
        <x:v>BS_ROLLER</x:v>
      </x:c>
      <x:c r="C3" s="80" t="n">
        <x:v>20</x:v>
      </x:c>
      <x:c r="D3" s="80" t="str">
        <x:v>source_supported</x:v>
      </x:c>
      <x:c r="E3" s="80" t="str">
        <x:v>Nguyên liệu dầu; PDF nêu lạc/đậu phộng là ví dụ ứng dụng máy nghiền con lăn.</x:v>
      </x:c>
      <x:c r="F3" s="80" t="str">
        <x:v>PDF p.18</x:v>
      </x:c>
      <x:c r="G3" s="82" t="str">
        <x:v>Verified</x:v>
      </x:c>
    </x:row>
    <x:row r="4">
      <x:c r="A4" s="79" t="str">
        <x:v>ALMOND</x:v>
      </x:c>
      <x:c r="B4" s="80" t="str">
        <x:v>BS_ROLLER</x:v>
      </x:c>
      <x:c r="C4" s="80" t="n">
        <x:v>20</x:v>
      </x:c>
      <x:c r="D4" s="80" t="str">
        <x:v>source_supported</x:v>
      </x:c>
      <x:c r="E4" s="80" t="str">
        <x:v>Nguyên liệu dầu; PDF nêu hạnh nhân là ví dụ ứng dụng máy nghiền con lăn.</x:v>
      </x:c>
      <x:c r="F4" s="80" t="str">
        <x:v>PDF p.18</x:v>
      </x:c>
      <x:c r="G4" s="82" t="str">
        <x:v>Verified</x:v>
      </x:c>
    </x:row>
    <x:row r="5">
      <x:c r="A5" s="79" t="str">
        <x:v>SPICE_POWDER</x:v>
      </x:c>
      <x:c r="B5" s="80" t="str">
        <x:v>BSZ_PIN</x:v>
      </x:c>
      <x:c r="C5" s="80" t="n">
        <x:v>15</x:v>
      </x:c>
      <x:c r="D5" s="80" t="str">
        <x:v>source_supported</x:v>
      </x:c>
      <x:c r="E5" s="80" t="str">
        <x:v>BSZ Loại A phù hợp bột chảy kém như bột gia vị.</x:v>
      </x:c>
      <x:c r="F5" s="80" t="str">
        <x:v>PDF p.12</x:v>
      </x:c>
      <x:c r="G5" s="82" t="str">
        <x:v>Verified</x:v>
      </x:c>
    </x:row>
    <x:row r="6">
      <x:c r="A6" s="79" t="str">
        <x:v>CACAO</x:v>
      </x:c>
      <x:c r="B6" s="80" t="str">
        <x:v>BSZ_PIN</x:v>
      </x:c>
      <x:c r="C6" s="80" t="n">
        <x:v>15</x:v>
      </x:c>
      <x:c r="D6" s="80" t="str">
        <x:v>source_supported</x:v>
      </x:c>
      <x:c r="E6" s="80" t="str">
        <x:v>BSZ được mô tả phù hợp sản phẩm dạng nhão như bột mịn cacao.</x:v>
      </x:c>
      <x:c r="F6" s="80" t="str">
        <x:v>PDF p.13</x:v>
      </x:c>
      <x:c r="G6" s="82" t="str">
        <x:v>Verified</x:v>
      </x:c>
    </x:row>
    <x:row r="7">
      <x:c r="A7" s="79" t="str">
        <x:v>FRUIT</x:v>
      </x:c>
      <x:c r="B7" s="80" t="str">
        <x:v>BS_CRYOGENIC</x:v>
      </x:c>
      <x:c r="C7" s="80" t="n">
        <x:v>15</x:v>
      </x:c>
      <x:c r="D7" s="80" t="str">
        <x:v>source_supported</x:v>
      </x:c>
      <x:c r="E7" s="80" t="str">
        <x:v>Máy nghiền làm lạnh được nêu cho vật liệu nhạy nhiệt như trái cây.</x:v>
      </x:c>
      <x:c r="F7" s="80" t="str">
        <x:v>PDF p.20</x:v>
      </x:c>
      <x:c r="G7" s="82" t="str">
        <x:v>Verified</x:v>
      </x:c>
    </x:row>
    <x:row r="8">
      <x:c r="A8" s="79" t="str">
        <x:v>VEGETABLE</x:v>
      </x:c>
      <x:c r="B8" s="80" t="str">
        <x:v>BS_CRYOGENIC</x:v>
      </x:c>
      <x:c r="C8" s="80" t="n">
        <x:v>15</x:v>
      </x:c>
      <x:c r="D8" s="80" t="str">
        <x:v>source_supported</x:v>
      </x:c>
      <x:c r="E8" s="80" t="str">
        <x:v>Máy nghiền làm lạnh được nêu cho vật liệu nhạy nhiệt như rau.</x:v>
      </x:c>
      <x:c r="F8" s="80" t="str">
        <x:v>PDF p.20</x:v>
      </x:c>
      <x:c r="G8" s="82" t="str">
        <x:v>Verified</x:v>
      </x:c>
    </x:row>
    <x:row r="9">
      <x:c r="A9" s="79" t="str">
        <x:v>HERB</x:v>
      </x:c>
      <x:c r="B9" s="80" t="str">
        <x:v>BS_CRYOGENIC</x:v>
      </x:c>
      <x:c r="C9" s="80" t="n">
        <x:v>15</x:v>
      </x:c>
      <x:c r="D9" s="80" t="str">
        <x:v>source_supported</x:v>
      </x:c>
      <x:c r="E9" s="80" t="str">
        <x:v>Máy nghiền làm lạnh được nêu cho thảo mộc.</x:v>
      </x:c>
      <x:c r="F9" s="80" t="str">
        <x:v>PDF p.20</x:v>
      </x:c>
      <x:c r="G9" s="82" t="str">
        <x:v>Verified</x:v>
      </x:c>
    </x:row>
    <x:row r="10">
      <x:c r="A10" s="79" t="str">
        <x:v>MEDICINE</x:v>
      </x:c>
      <x:c r="B10" s="80" t="str">
        <x:v>BS_CRYOGENIC</x:v>
      </x:c>
      <x:c r="C10" s="80" t="n">
        <x:v>15</x:v>
      </x:c>
      <x:c r="D10" s="80" t="str">
        <x:v>source_supported</x:v>
      </x:c>
      <x:c r="E10" s="80" t="str">
        <x:v>Máy nghiền làm lạnh được nêu cho thuốc.</x:v>
      </x:c>
      <x:c r="F10" s="80" t="str">
        <x:v>PDF p.20</x:v>
      </x:c>
      <x:c r="G10" s="82" t="str">
        <x:v>Verified</x:v>
      </x:c>
    </x:row>
    <x:row r="11">
      <x:c r="A11" s="79" t="str">
        <x:v>PLASTIC</x:v>
      </x:c>
      <x:c r="B11" s="80" t="str">
        <x:v>BS_CRYOGENIC</x:v>
      </x:c>
      <x:c r="C11" s="80" t="n">
        <x:v>15</x:v>
      </x:c>
      <x:c r="D11" s="80" t="str">
        <x:v>source_supported</x:v>
      </x:c>
      <x:c r="E11" s="80" t="str">
        <x:v>Máy nghiền làm lạnh được nêu cho nhựa.</x:v>
      </x:c>
      <x:c r="F11" s="80" t="str">
        <x:v>PDF p.20</x:v>
      </x:c>
      <x:c r="G11" s="82" t="str">
        <x:v>Verified</x:v>
      </x:c>
    </x:row>
    <x:row r="12">
      <x:c r="A12" s="83" t="str">
        <x:v>RUBBER</x:v>
      </x:c>
      <x:c r="B12" s="84" t="str">
        <x:v>BS_CRYOGENIC</x:v>
      </x:c>
      <x:c r="C12" s="84" t="n">
        <x:v>15</x:v>
      </x:c>
      <x:c r="D12" s="84" t="str">
        <x:v>source_supported</x:v>
      </x:c>
      <x:c r="E12" s="84" t="str">
        <x:v>Máy nghiền làm lạnh được nêu cho cao su.</x:v>
      </x:c>
      <x:c r="F12" s="84" t="str">
        <x:v>PDF p.20</x:v>
      </x:c>
      <x:c r="G12" s="85" t="str">
        <x:v>Verified</x:v>
      </x:c>
    </x:row>
  </x:sheetData>
  <x:dataValidations count="2">
    <x:dataValidation type="list" sqref="G2:G300">
      <x:formula1>"Verified,Needs validation,Deprecated"</x:formula1>
    </x:dataValidation>
    <x:dataValidation type="decimal" operator="between" sqref="C2:C300">
      <x:formula1>-50</x:formula1>
      <x:formula2>50</x:formula2>
    </x:dataValidation>
  </x:dataValidations>
  <x:pageMargins left="0.7" right="0.7" top="0.75" bottom="0.75" header="0.3" footer="0.3"/>
  <x:tableParts count="1">
    <x:tablePart xmlns:r="http://schemas.openxmlformats.org/officeDocument/2006/relationships" r:id="R2ae0890b68ed4656"/>
  </x:tableParts>
</x:worksheet>
</file>

<file path=xl/worksheets/sheet12.xml><?xml version="1.0" encoding="utf-8"?>
<x:worksheet xmlns:x="http://schemas.openxmlformats.org/spreadsheetml/2006/main">
  <x:sheetFormatPr defaultRowHeight="15"/>
  <x:cols>
    <x:col min="1" max="1" width="30" hidden="0" customWidth="1"/>
    <x:col min="2" max="2" width="16" hidden="0" customWidth="1"/>
    <x:col min="3" max="3" width="14" hidden="0" customWidth="1"/>
    <x:col min="4" max="4" width="18" hidden="0" customWidth="1"/>
    <x:col min="5" max="5" width="68" hidden="0" customWidth="1"/>
    <x:col min="6" max="6" width="12" hidden="0" customWidth="1"/>
  </x:cols>
  <x:sheetData>
    <x:row r="1">
      <x:c r="A1" s="95" t="str">
        <x:v>key</x:v>
      </x:c>
      <x:c r="B1" s="96" t="str">
        <x:v>value</x:v>
      </x:c>
      <x:c r="C1" s="96" t="str">
        <x:v>unit</x:v>
      </x:c>
      <x:c r="D1" s="96" t="str">
        <x:v>category</x:v>
      </x:c>
      <x:c r="E1" s="96" t="str">
        <x:v>description</x:v>
      </x:c>
      <x:c r="F1" s="97" t="str">
        <x:v>editable</x:v>
      </x:c>
    </x:row>
    <x:row r="2">
      <x:c r="A2" s="79" t="str">
        <x:v>capacity_weight</x:v>
      </x:c>
      <x:c r="B2" s="80" t="n">
        <x:v>40</x:v>
      </x:c>
      <x:c r="C2" s="80" t="str">
        <x:v>points</x:v>
      </x:c>
      <x:c r="D2" s="80" t="str">
        <x:v>scoring</x:v>
      </x:c>
      <x:c r="E2" s="80" t="str">
        <x:v>Điểm khi năng suất mục tiêu nằm trong dải model.</x:v>
      </x:c>
      <x:c r="F2" s="101" t="b">
        <x:v>1</x:v>
      </x:c>
    </x:row>
    <x:row r="3">
      <x:c r="A3" s="79" t="str">
        <x:v>input_size_weight</x:v>
      </x:c>
      <x:c r="B3" s="80" t="n">
        <x:v>20</x:v>
      </x:c>
      <x:c r="C3" s="80" t="str">
        <x:v>points</x:v>
      </x:c>
      <x:c r="D3" s="80" t="str">
        <x:v>scoring</x:v>
      </x:c>
      <x:c r="E3" s="80" t="str">
        <x:v>Điểm khi kích thước đầu vào không vượt giới hạn model; nếu model không có dữ liệu thì không loại và phải cảnh báo.</x:v>
      </x:c>
      <x:c r="F3" s="101" t="b">
        <x:v>1</x:v>
      </x:c>
    </x:row>
    <x:row r="4">
      <x:c r="A4" s="79" t="str">
        <x:v>fineness_weight</x:v>
      </x:c>
      <x:c r="B4" s="80" t="n">
        <x:v>40</x:v>
      </x:c>
      <x:c r="C4" s="80" t="str">
        <x:v>points</x:v>
      </x:c>
      <x:c r="D4" s="80" t="str">
        <x:v>scoring</x:v>
      </x:c>
      <x:c r="E4" s="80" t="str">
        <x:v>Điểm khi độ mịn và đơn vị nằm trong dải model.</x:v>
      </x:c>
      <x:c r="F4" s="101" t="b">
        <x:v>1</x:v>
      </x:c>
    </x:row>
    <x:row r="5">
      <x:c r="A5" s="79" t="str">
        <x:v>material_adjustment_min</x:v>
      </x:c>
      <x:c r="B5" s="80" t="n">
        <x:v>-30</x:v>
      </x:c>
      <x:c r="C5" s="80" t="str">
        <x:v>points</x:v>
      </x:c>
      <x:c r="D5" s="80" t="str">
        <x:v>scoring</x:v>
      </x:c>
      <x:c r="E5" s="80" t="str">
        <x:v>Giới hạn dưới điều chỉnh theo vật liệu.</x:v>
      </x:c>
      <x:c r="F5" s="101" t="b">
        <x:v>1</x:v>
      </x:c>
    </x:row>
    <x:row r="6">
      <x:c r="A6" s="79" t="str">
        <x:v>material_adjustment_max</x:v>
      </x:c>
      <x:c r="B6" s="80" t="n">
        <x:v>20</x:v>
      </x:c>
      <x:c r="C6" s="80" t="str">
        <x:v>points</x:v>
      </x:c>
      <x:c r="D6" s="80" t="str">
        <x:v>scoring</x:v>
      </x:c>
      <x:c r="E6" s="80" t="str">
        <x:v>Giới hạn trên điều chỉnh theo vật liệu.</x:v>
      </x:c>
      <x:c r="F6" s="101" t="b">
        <x:v>1</x:v>
      </x:c>
    </x:row>
    <x:row r="7">
      <x:c r="A7" s="79" t="str">
        <x:v>candidate_threshold</x:v>
      </x:c>
      <x:c r="B7" s="80" t="n">
        <x:v>80</x:v>
      </x:c>
      <x:c r="C7" s="80" t="str">
        <x:v>points</x:v>
      </x:c>
      <x:c r="D7" s="80" t="str">
        <x:v>display</x:v>
      </x:c>
      <x:c r="E7" s="80" t="str">
        <x:v>Ngưỡng gợi ý để đánh dấu ứng viên mạnh khi không có cảnh báo loại.</x:v>
      </x:c>
      <x:c r="F7" s="101" t="b">
        <x:v>1</x:v>
      </x:c>
    </x:row>
    <x:row r="8">
      <x:c r="A8" s="79" t="str">
        <x:v>ask_if_capacity_missing</x:v>
      </x:c>
      <x:c r="B8" s="81" t="b">
        <x:v>1</x:v>
      </x:c>
      <x:c r="C8" s="80" t="str">
        <x:v>boolean</x:v>
      </x:c>
      <x:c r="D8" s="80" t="str">
        <x:v>dialog</x:v>
      </x:c>
      <x:c r="E8" s="80" t="str">
        <x:v>Hỏi lại nếu người dùng chưa cung cấp năng suất cho yêu cầu chọn model.</x:v>
      </x:c>
      <x:c r="F8" s="101" t="b">
        <x:v>1</x:v>
      </x:c>
    </x:row>
    <x:row r="9">
      <x:c r="A9" s="79" t="str">
        <x:v>ask_if_fineness_missing</x:v>
      </x:c>
      <x:c r="B9" s="81" t="b">
        <x:v>1</x:v>
      </x:c>
      <x:c r="C9" s="80" t="str">
        <x:v>boolean</x:v>
      </x:c>
      <x:c r="D9" s="80" t="str">
        <x:v>dialog</x:v>
      </x:c>
      <x:c r="E9" s="80" t="str">
        <x:v>Hỏi lại nếu người dùng chưa cung cấp độ mịn khi cần chọn model cụ thể.</x:v>
      </x:c>
      <x:c r="F9" s="101" t="b">
        <x:v>1</x:v>
      </x:c>
    </x:row>
    <x:row r="10">
      <x:c r="A10" s="79" t="str">
        <x:v>allow_unknown_input_size</x:v>
      </x:c>
      <x:c r="B10" s="81" t="b">
        <x:v>1</x:v>
      </x:c>
      <x:c r="C10" s="80" t="str">
        <x:v>boolean</x:v>
      </x:c>
      <x:c r="D10" s="80" t="str">
        <x:v>guardrail</x:v>
      </x:c>
      <x:c r="E10" s="80" t="str">
        <x:v>Không loại model chỉ vì catalogue thiếu input size; trả cảnh báo.</x:v>
      </x:c>
      <x:c r="F10" s="101" t="b">
        <x:v>1</x:v>
      </x:c>
    </x:row>
    <x:row r="11">
      <x:c r="A11" s="79" t="str">
        <x:v>no_hallucinated_specs</x:v>
      </x:c>
      <x:c r="B11" s="81" t="b">
        <x:v>1</x:v>
      </x:c>
      <x:c r="C11" s="80" t="str">
        <x:v>boolean</x:v>
      </x:c>
      <x:c r="D11" s="80" t="str">
        <x:v>guardrail</x:v>
      </x:c>
      <x:c r="E11" s="80" t="str">
        <x:v>AI không được tự tạo thông số không tồn tại trong database.</x:v>
      </x:c>
      <x:c r="F11" s="101" t="b">
        <x:v>0</x:v>
      </x:c>
    </x:row>
    <x:row r="12">
      <x:c r="A12" s="83" t="str">
        <x:v>candidate_not_confirmation</x:v>
      </x:c>
      <x:c r="B12" s="102" t="b">
        <x:v>1</x:v>
      </x:c>
      <x:c r="C12" s="84" t="str">
        <x:v>boolean</x:v>
      </x:c>
      <x:c r="D12" s="84" t="str">
        <x:v>guardrail</x:v>
      </x:c>
      <x:c r="E12" s="84" t="str">
        <x:v>Kết quả là ứng viên kỹ thuật; công suất/độ mịn thực tế vẫn cần thử mẫu khi tài liệu không đảm bảo.</x:v>
      </x:c>
      <x:c r="F12" s="103" t="b">
        <x:v>0</x:v>
      </x:c>
    </x:row>
  </x:sheetData>
  <x:dataValidations count="1">
    <x:dataValidation type="list" sqref="F2:F100">
      <x:formula1>"true,false"</x:formula1>
    </x:dataValidation>
  </x:dataValidations>
  <x:pageMargins left="0.7" right="0.7" top="0.75" bottom="0.75" header="0.3" footer="0.3"/>
  <x:tableParts count="1">
    <x:tablePart xmlns:r="http://schemas.openxmlformats.org/officeDocument/2006/relationships" r:id="R61fbbdf0865941d6"/>
  </x:tableParts>
</x:worksheet>
</file>

<file path=xl/worksheets/sheet13.xml><?xml version="1.0" encoding="utf-8"?>
<x:worksheet xmlns:x="http://schemas.openxmlformats.org/spreadsheetml/2006/main">
  <x:sheetFormatPr defaultRowHeight="15"/>
  <x:cols>
    <x:col min="1" max="1" width="20" hidden="0" customWidth="1"/>
    <x:col min="2" max="2" width="24" hidden="0" customWidth="1"/>
    <x:col min="3" max="3" width="26" hidden="0" customWidth="1"/>
    <x:col min="4" max="4" width="58" hidden="0" customWidth="1"/>
    <x:col min="5" max="5" width="18" hidden="0" customWidth="1"/>
    <x:col min="6" max="6" width="20" hidden="0" customWidth="1"/>
    <x:col min="7" max="7" width="62" hidden="0" customWidth="1"/>
    <x:col min="8" max="8" width="24" hidden="0" customWidth="1"/>
    <x:col min="9" max="9" width="14" hidden="0" customWidth="1"/>
  </x:cols>
  <x:sheetData>
    <x:row r="1">
      <x:c r="A1" s="95" t="str">
        <x:v>rule_id</x:v>
      </x:c>
      <x:c r="B1" s="96" t="str">
        <x:v>rule_type</x:v>
      </x:c>
      <x:c r="C1" s="96" t="str">
        <x:v>input_field</x:v>
      </x:c>
      <x:c r="D1" s="96" t="str">
        <x:v>logic</x:v>
      </x:c>
      <x:c r="E1" s="96" t="str">
        <x:v>weight_or_value</x:v>
      </x:c>
      <x:c r="F1" s="96" t="str">
        <x:v>on_fail</x:v>
      </x:c>
      <x:c r="G1" s="96" t="str">
        <x:v>message_vi</x:v>
      </x:c>
      <x:c r="H1" s="96" t="str">
        <x:v>basis</x:v>
      </x:c>
      <x:c r="I1" s="97" t="str">
        <x:v>status</x:v>
      </x:c>
    </x:row>
    <x:row r="2">
      <x:c r="A2" s="79" t="str">
        <x:v>TECH_CAPACITY</x:v>
      </x:c>
      <x:c r="B2" s="80" t="str">
        <x:v>hard_filter</x:v>
      </x:c>
      <x:c r="C2" s="80" t="str">
        <x:v>capacity_kg_h</x:v>
      </x:c>
      <x:c r="D2" s="80" t="str">
        <x:v>model.capacity_min_kg_h &lt;= value &lt;= model.capacity_max_kg_h</x:v>
      </x:c>
      <x:c r="E2" s="80" t="n">
        <x:v>40</x:v>
      </x:c>
      <x:c r="F2" s="80" t="str">
        <x:v>reject</x:v>
      </x:c>
      <x:c r="G2" s="80" t="str">
        <x:v>Năng suất phải nằm trong dải model.</x:v>
      </x:c>
      <x:c r="H2" s="80" t="str">
        <x:v>Database Models</x:v>
      </x:c>
      <x:c r="I2" s="82" t="str">
        <x:v>Active</x:v>
      </x:c>
    </x:row>
    <x:row r="3">
      <x:c r="A3" s="79" t="str">
        <x:v>TECH_INPUT</x:v>
      </x:c>
      <x:c r="B3" s="80" t="str">
        <x:v>hard_filter_with_unknown</x:v>
      </x:c>
      <x:c r="C3" s="80" t="str">
        <x:v>input_size_mm</x:v>
      </x:c>
      <x:c r="D3" s="80" t="str">
        <x:v>value &lt;= model.input_size_max_mm OR model.input_size_max_mm IS NULL</x:v>
      </x:c>
      <x:c r="E3" s="80" t="n">
        <x:v>20</x:v>
      </x:c>
      <x:c r="F3" s="80" t="str">
        <x:v>warn_if_unknown</x:v>
      </x:c>
      <x:c r="G3" s="80" t="str">
        <x:v>Nếu catalogue có giới hạn đầu vào thì phải đáp ứng; thiếu dữ liệu thì giữ model nhưng cảnh báo.</x:v>
      </x:c>
      <x:c r="H3" s="80" t="str">
        <x:v>Database Models</x:v>
      </x:c>
      <x:c r="I3" s="82" t="str">
        <x:v>Active</x:v>
      </x:c>
    </x:row>
    <x:row r="4">
      <x:c r="A4" s="79" t="str">
        <x:v>TECH_FINENESS</x:v>
      </x:c>
      <x:c r="B4" s="80" t="str">
        <x:v>hard_filter</x:v>
      </x:c>
      <x:c r="C4" s="80" t="str">
        <x:v>fineness_value + fineness_unit</x:v>
      </x:c>
      <x:c r="D4" s="80" t="str">
        <x:v>unit = model.fineness_unit AND min &lt;= value &lt;= max</x:v>
      </x:c>
      <x:c r="E4" s="80" t="n">
        <x:v>40</x:v>
      </x:c>
      <x:c r="F4" s="80" t="str">
        <x:v>reject</x:v>
      </x:c>
      <x:c r="G4" s="80" t="str">
        <x:v>Độ mịn phải nằm trong dải và đúng đơn vị của model.</x:v>
      </x:c>
      <x:c r="H4" s="80" t="str">
        <x:v>Database Models</x:v>
      </x:c>
      <x:c r="I4" s="82" t="str">
        <x:v>Active</x:v>
      </x:c>
    </x:row>
    <x:row r="5">
      <x:c r="A5" s="79" t="str">
        <x:v>MATERIAL_COMPAT</x:v>
      </x:c>
      <x:c r="B5" s="80" t="str">
        <x:v>score_adjustment</x:v>
      </x:c>
      <x:c r="C5" s="80" t="str">
        <x:v>material_id</x:v>
      </x:c>
      <x:c r="D5" s="80" t="str">
        <x:v>lookup Material_Series_Map by material_id + series_code</x:v>
      </x:c>
      <x:c r="E5" s="80" t="str">
        <x:v>config</x:v>
      </x:c>
      <x:c r="F5" s="80" t="str">
        <x:v>adjust</x:v>
      </x:c>
      <x:c r="G5" s="80" t="str">
        <x:v>Điều chỉnh điểm theo dữ liệu tương thích nguyên liệu đã xác minh.</x:v>
      </x:c>
      <x:c r="H5" s="80" t="str">
        <x:v>Material_Series_Map</x:v>
      </x:c>
      <x:c r="I5" s="82" t="str">
        <x:v>Active</x:v>
      </x:c>
    </x:row>
    <x:row r="6">
      <x:c r="A6" s="79" t="str">
        <x:v>NO_SPEC_GUESS</x:v>
      </x:c>
      <x:c r="B6" s="80" t="str">
        <x:v>guardrail</x:v>
      </x:c>
      <x:c r="C6" s="80" t="str">
        <x:v>any_missing_spec</x:v>
      </x:c>
      <x:c r="D6" s="80" t="str">
        <x:v>do not infer numeric specs</x:v>
      </x:c>
      <x:c r="E6" s="80" t="n">
        <x:v>0</x:v>
      </x:c>
      <x:c r="F6" s="80" t="str">
        <x:v>warn</x:v>
      </x:c>
      <x:c r="G6" s="80" t="str">
        <x:v>Không tự suy đoán thông số kỹ thuật bị thiếu.</x:v>
      </x:c>
      <x:c r="H6" s="80" t="str">
        <x:v>AI_Config</x:v>
      </x:c>
      <x:c r="I6" s="82" t="str">
        <x:v>Active</x:v>
      </x:c>
    </x:row>
    <x:row r="7">
      <x:c r="A7" s="79" t="str">
        <x:v>BSC_PRECRUSH</x:v>
      </x:c>
      <x:c r="B7" s="80" t="str">
        <x:v>workflow_hint</x:v>
      </x:c>
      <x:c r="C7" s="80" t="str">
        <x:v>input_size_mm</x:v>
      </x:c>
      <x:c r="D7" s="80" t="str">
        <x:v>if input too large for fine mill and &lt;100 mm, evaluate ASC coarse crusher as pre-crusher</x:v>
      </x:c>
      <x:c r="E7" s="80" t="n">
        <x:v>0</x:v>
      </x:c>
      <x:c r="F7" s="80" t="str">
        <x:v>suggest_process</x:v>
      </x:c>
      <x:c r="G7" s="80" t="str">
        <x:v>Có thể đề xuất nghiền sơ bộ ASC khi phù hợp dải đầu vào của dòng nghiền thô.</x:v>
      </x:c>
      <x:c r="H7" s="80" t="str">
        <x:v>PDF p.5 + app logic</x:v>
      </x:c>
      <x:c r="I7" s="82" t="str">
        <x:v>Active</x:v>
      </x:c>
    </x:row>
    <x:row r="8">
      <x:c r="A8" s="79" t="str">
        <x:v>ASK_JET_AIR</x:v>
      </x:c>
      <x:c r="B8" s="80" t="str">
        <x:v>requirement</x:v>
      </x:c>
      <x:c r="C8" s="80" t="str">
        <x:v>series_code=BSK_JET</x:v>
      </x:c>
      <x:c r="D8" s="80" t="str">
        <x:v>surface pressure and air consumption requirements</x:v>
      </x:c>
      <x:c r="E8" s="80" t="n">
        <x:v>0</x:v>
      </x:c>
      <x:c r="F8" s="80" t="str">
        <x:v>show_requirement</x:v>
      </x:c>
      <x:c r="G8" s="80" t="str">
        <x:v>Dòng ASK cần hiển thị yêu cầu khí nén và cảnh báo đơn vị tiêu thụ khí trong PDF cần xác minh.</x:v>
      </x:c>
      <x:c r="H8" s="80" t="str">
        <x:v>PDF p.19</x:v>
      </x:c>
      <x:c r="I8" s="82" t="str">
        <x:v>Active</x:v>
      </x:c>
    </x:row>
    <x:row r="9">
      <x:c r="A9" s="79" t="str">
        <x:v>ASK_CRYO_N2</x:v>
      </x:c>
      <x:c r="B9" s="80" t="str">
        <x:v>requirement</x:v>
      </x:c>
      <x:c r="C9" s="80" t="str">
        <x:v>series_code=BS_CRYOGENIC</x:v>
      </x:c>
      <x:c r="D9" s="80" t="str">
        <x:v>show liquid nitrogen requirement</x:v>
      </x:c>
      <x:c r="E9" s="80" t="n">
        <x:v>0</x:v>
      </x:c>
      <x:c r="F9" s="80" t="str">
        <x:v>show_requirement</x:v>
      </x:c>
      <x:c r="G9" s="80" t="str">
        <x:v>Dòng AS Cryogenic cần nitơ lỏng; không đề xuất mà không nói rõ điều kiện này.</x:v>
      </x:c>
      <x:c r="H9" s="80" t="str">
        <x:v>PDF p.20</x:v>
      </x:c>
      <x:c r="I9" s="82" t="str">
        <x:v>Active</x:v>
      </x:c>
    </x:row>
    <x:row r="10">
      <x:c r="A10" s="83" t="str">
        <x:v>REAL_WORLD_TEST</x:v>
      </x:c>
      <x:c r="B10" s="84" t="str">
        <x:v>guardrail</x:v>
      </x:c>
      <x:c r="C10" s="84" t="str">
        <x:v>final_recommendation</x:v>
      </x:c>
      <x:c r="D10" s="84" t="str">
        <x:v>state that actual output depends on material where source says so</x:v>
      </x:c>
      <x:c r="E10" s="84" t="n">
        <x:v>0</x:v>
      </x:c>
      <x:c r="F10" s="84" t="str">
        <x:v>warn</x:v>
      </x:c>
      <x:c r="G10" s="84" t="str">
        <x:v>Không coi kết quả database là bảo đảm hiệu suất thực tế; khuyến nghị test mẫu khi cần.</x:v>
      </x:c>
      <x:c r="H10" s="84" t="str">
        <x:v>PDF notes</x:v>
      </x:c>
      <x:c r="I10" s="85" t="str">
        <x:v>Active</x:v>
      </x:c>
    </x:row>
  </x:sheetData>
  <x:dataValidations count="1">
    <x:dataValidation type="list" sqref="I2:I200">
      <x:formula1>"Active,Disabled,Draft"</x:formula1>
    </x:dataValidation>
  </x:dataValidations>
  <x:pageMargins left="0.7" right="0.7" top="0.75" bottom="0.75" header="0.3" footer="0.3"/>
  <x:tableParts count="1">
    <x:tablePart xmlns:r="http://schemas.openxmlformats.org/officeDocument/2006/relationships" r:id="Rea131869098e4d1a"/>
  </x:tableParts>
</x:worksheet>
</file>

<file path=xl/worksheets/sheet14.xml><?xml version="1.0" encoding="utf-8"?>
<x:worksheet xmlns:x="http://schemas.openxmlformats.org/spreadsheetml/2006/main">
  <x:sheetFormatPr defaultRowHeight="15"/>
  <x:cols>
    <x:col min="1" max="1" width="24" hidden="0" customWidth="1"/>
    <x:col min="2" max="2" width="55" hidden="0" customWidth="1"/>
    <x:col min="3" max="3" width="14" hidden="0" customWidth="1"/>
    <x:col min="4" max="4" width="18" hidden="0" customWidth="1"/>
    <x:col min="5" max="5" width="48" hidden="0" customWidth="1"/>
    <x:col min="6" max="6" width="28" hidden="0" customWidth="1"/>
  </x:cols>
  <x:sheetData>
    <x:row r="1">
      <x:c r="A1" s="95" t="str">
        <x:v>field_name</x:v>
      </x:c>
      <x:c r="B1" s="96" t="str">
        <x:v>synonyms_vi</x:v>
      </x:c>
      <x:c r="C1" s="96" t="str">
        <x:v>data_type</x:v>
      </x:c>
      <x:c r="D1" s="96" t="str">
        <x:v>canonical_unit</x:v>
      </x:c>
      <x:c r="E1" s="96" t="str">
        <x:v>normalization</x:v>
      </x:c>
      <x:c r="F1" s="97" t="str">
        <x:v>importance</x:v>
      </x:c>
    </x:row>
    <x:row r="2">
      <x:c r="A2" s="79" t="str">
        <x:v>capacity_kg_h</x:v>
      </x:c>
      <x:c r="B2" s="80" t="str">
        <x:v>năng suất|công suất|sản lượng|kg/h|tấn/giờ|t/h</x:v>
      </x:c>
      <x:c r="C2" s="80" t="str">
        <x:v>number</x:v>
      </x:c>
      <x:c r="D2" s="80" t="str">
        <x:v>kg/h</x:v>
      </x:c>
      <x:c r="E2" s="80" t="str">
        <x:v>Convert t/h × 1000</x:v>
      </x:c>
      <x:c r="F2" s="82" t="str">
        <x:v>required_for_selection</x:v>
      </x:c>
    </x:row>
    <x:row r="3">
      <x:c r="A3" s="79" t="str">
        <x:v>material_name</x:v>
      </x:c>
      <x:c r="B3" s="80" t="str">
        <x:v>nguyên liệu|vật liệu|sản phẩm|cần nghiền</x:v>
      </x:c>
      <x:c r="C3" s="80" t="str">
        <x:v>text</x:v>
      </x:c>
      <x:c r="D3" s="80" t="str"/>
      <x:c r="E3" s="80" t="str">
        <x:v>Resolve to Materials.material_id when possible</x:v>
      </x:c>
      <x:c r="F3" s="82" t="str">
        <x:v>recommended</x:v>
      </x:c>
    </x:row>
    <x:row r="4">
      <x:c r="A4" s="79" t="str">
        <x:v>input_size_mm</x:v>
      </x:c>
      <x:c r="B4" s="80" t="str">
        <x:v>kích thước đầu vào|size đầu vào|nguyên liệu đầu vào|mm đầu vào</x:v>
      </x:c>
      <x:c r="C4" s="80" t="str">
        <x:v>number</x:v>
      </x:c>
      <x:c r="D4" s="80" t="str">
        <x:v>mm</x:v>
      </x:c>
      <x:c r="E4" s="80" t="str">
        <x:v>Normalize to mm</x:v>
      </x:c>
      <x:c r="F4" s="82" t="str">
        <x:v>optional_but_useful</x:v>
      </x:c>
    </x:row>
    <x:row r="5">
      <x:c r="A5" s="79" t="str">
        <x:v>fineness_value</x:v>
      </x:c>
      <x:c r="B5" s="80" t="str">
        <x:v>độ mịn|mesh|micron|µm|mm đầu ra</x:v>
      </x:c>
      <x:c r="C5" s="80" t="str">
        <x:v>number</x:v>
      </x:c>
      <x:c r="D5" s="80" t="str"/>
      <x:c r="E5" s="80" t="str">
        <x:v>Read together with fineness_unit</x:v>
      </x:c>
      <x:c r="F5" s="82" t="str">
        <x:v>required_for_specific_model</x:v>
      </x:c>
    </x:row>
    <x:row r="6">
      <x:c r="A6" s="79" t="str">
        <x:v>fineness_unit</x:v>
      </x:c>
      <x:c r="B6" s="80" t="str">
        <x:v>mesh|micron|µm|um|mm</x:v>
      </x:c>
      <x:c r="C6" s="80" t="str">
        <x:v>enum</x:v>
      </x:c>
      <x:c r="D6" s="80" t="str">
        <x:v>mesh/µm/mm</x:v>
      </x:c>
      <x:c r="E6" s="80" t="str">
        <x:v>Normalize micron/um to µm</x:v>
      </x:c>
      <x:c r="F6" s="82" t="str">
        <x:v>required_when_fineness_present</x:v>
      </x:c>
    </x:row>
    <x:row r="7">
      <x:c r="A7" s="79" t="str">
        <x:v>heat_sensitive</x:v>
      </x:c>
      <x:c r="B7" s="80" t="str">
        <x:v>nhạy nhiệt|không được nóng|giữ màu|nhiệt độ thấp</x:v>
      </x:c>
      <x:c r="C7" s="80" t="str">
        <x:v>boolean</x:v>
      </x:c>
      <x:c r="D7" s="80" t="str"/>
      <x:c r="E7" s="80" t="str">
        <x:v>Do not infer TRUE unless user states or material record is Verified</x:v>
      </x:c>
      <x:c r="F7" s="82" t="str">
        <x:v>optional</x:v>
      </x:c>
    </x:row>
    <x:row r="8">
      <x:c r="A8" s="79" t="str">
        <x:v>oily</x:v>
      </x:c>
      <x:c r="B8" s="80" t="str">
        <x:v>dầu|nhiều dầu|hàm lượng dầu</x:v>
      </x:c>
      <x:c r="C8" s="80" t="str">
        <x:v>boolean</x:v>
      </x:c>
      <x:c r="D8" s="80" t="str"/>
      <x:c r="E8" s="80" t="str">
        <x:v>Use only when stated or Verified material record</x:v>
      </x:c>
      <x:c r="F8" s="82" t="str">
        <x:v>optional</x:v>
      </x:c>
    </x:row>
    <x:row r="9">
      <x:c r="A9" s="79" t="str">
        <x:v>sticky</x:v>
      </x:c>
      <x:c r="B9" s="80" t="str">
        <x:v>dính|nhão|paste</x:v>
      </x:c>
      <x:c r="C9" s="80" t="str">
        <x:v>boolean</x:v>
      </x:c>
      <x:c r="D9" s="80" t="str"/>
      <x:c r="E9" s="80" t="str">
        <x:v>Map paste/nhão to sticky_or_paste</x:v>
      </x:c>
      <x:c r="F9" s="82" t="str">
        <x:v>optional</x:v>
      </x:c>
    </x:row>
    <x:row r="10">
      <x:c r="A10" s="79" t="str">
        <x:v>wet</x:v>
      </x:c>
      <x:c r="B10" s="80" t="str">
        <x:v>ẩm|ướt|độ ẩm cao</x:v>
      </x:c>
      <x:c r="C10" s="80" t="str">
        <x:v>boolean</x:v>
      </x:c>
      <x:c r="D10" s="80" t="str"/>
      <x:c r="E10" s="80" t="str">
        <x:v>Do not infer level without value</x:v>
      </x:c>
      <x:c r="F10" s="82" t="str">
        <x:v>optional</x:v>
      </x:c>
    </x:row>
    <x:row r="11">
      <x:c r="A11" s="79" t="str">
        <x:v>continuous</x:v>
      </x:c>
      <x:c r="B11" s="80" t="str">
        <x:v>liên tục|continuous</x:v>
      </x:c>
      <x:c r="C11" s="80" t="str">
        <x:v>boolean</x:v>
      </x:c>
      <x:c r="D11" s="80" t="str"/>
      <x:c r="E11" s="80" t="str">
        <x:v>Can influence system preference but not hard-filter unless rule exists</x:v>
      </x:c>
      <x:c r="F11" s="82" t="str">
        <x:v>optional</x:v>
      </x:c>
    </x:row>
    <x:row r="12">
      <x:c r="A12" s="83" t="str">
        <x:v>dust_control</x:v>
      </x:c>
      <x:c r="B12" s="84" t="str">
        <x:v>hút bụi|không bụi|thu bụi</x:v>
      </x:c>
      <x:c r="C12" s="84" t="str">
        <x:v>boolean</x:v>
      </x:c>
      <x:c r="D12" s="84" t="str"/>
      <x:c r="E12" s="84" t="str">
        <x:v>Prefer series with verified dust-collection tag</x:v>
      </x:c>
      <x:c r="F12" s="85" t="str">
        <x:v>optional</x:v>
      </x:c>
    </x:row>
  </x:sheetData>
  <x:pageMargins left="0.7" right="0.7" top="0.75" bottom="0.75" header="0.3" footer="0.3"/>
  <x:tableParts count="1">
    <x:tablePart xmlns:r="http://schemas.openxmlformats.org/officeDocument/2006/relationships" r:id="R89e533f47f2e45aa"/>
  </x:tableParts>
</x:worksheet>
</file>

<file path=xl/worksheets/sheet15.xml><?xml version="1.0" encoding="utf-8"?>
<x:worksheet xmlns:x="http://schemas.openxmlformats.org/spreadsheetml/2006/main">
  <x:sheetFormatPr defaultRowHeight="15"/>
  <x:cols>
    <x:col min="1" max="1" width="22" hidden="0" customWidth="1"/>
    <x:col min="2" max="2" width="25" hidden="0" customWidth="1"/>
    <x:col min="3" max="3" width="54" hidden="0" customWidth="1"/>
    <x:col min="4" max="4" width="58" hidden="0" customWidth="1"/>
    <x:col min="5" max="5" width="52" hidden="0" customWidth="1"/>
  </x:cols>
  <x:sheetData>
    <x:row r="1">
      <x:c r="A1" s="95" t="str">
        <x:v>intent_id</x:v>
      </x:c>
      <x:c r="B1" s="96" t="str">
        <x:v>name_vi</x:v>
      </x:c>
      <x:c r="C1" s="96" t="str">
        <x:v>trigger_description</x:v>
      </x:c>
      <x:c r="D1" s="96" t="str">
        <x:v>execution</x:v>
      </x:c>
      <x:c r="E1" s="97" t="str">
        <x:v>guardrail</x:v>
      </x:c>
    </x:row>
    <x:row r="2">
      <x:c r="A2" s="79" t="str">
        <x:v>select_machine</x:v>
      </x:c>
      <x:c r="B2" s="80" t="str">
        <x:v>Chọn máy phù hợp</x:v>
      </x:c>
      <x:c r="C2" s="80" t="str">
        <x:v>Người dùng cung cấp nguyên liệu/thông số mục tiêu và muốn tìm dòng/model.</x:v>
      </x:c>
      <x:c r="D2" s="80" t="str">
        <x:v>Extract fields -&gt; deterministic filter/score -&gt; explain candidates</x:v>
      </x:c>
      <x:c r="E2" s="82" t="str">
        <x:v>Không trả model nếu dữ liệu bắt buộc thiếu; hỏi lại.</x:v>
      </x:c>
    </x:row>
    <x:row r="3">
      <x:c r="A3" s="79" t="str">
        <x:v>compare_models</x:v>
      </x:c>
      <x:c r="B3" s="80" t="str">
        <x:v>So sánh model</x:v>
      </x:c>
      <x:c r="C3" s="80" t="str">
        <x:v>Người dùng nêu từ 2 model trở lên.</x:v>
      </x:c>
      <x:c r="D3" s="80" t="str">
        <x:v>Lookup exact records -&gt; compare common fields + extra specs</x:v>
      </x:c>
      <x:c r="E3" s="82" t="str">
        <x:v>Không tự bổ sung thông số thiếu.</x:v>
      </x:c>
    </x:row>
    <x:row r="4">
      <x:c r="A4" s="79" t="str">
        <x:v>lookup_spec</x:v>
      </x:c>
      <x:c r="B4" s="80" t="str">
        <x:v>Tra thông số</x:v>
      </x:c>
      <x:c r="C4" s="80" t="str">
        <x:v>Hỏi thông số của một model.</x:v>
      </x:c>
      <x:c r="D4" s="80" t="str">
        <x:v>Exact lookup by model/machine_id</x:v>
      </x:c>
      <x:c r="E4" s="82" t="str">
        <x:v>Nếu model mơ hồ, yêu cầu chọn series.</x:v>
      </x:c>
    </x:row>
    <x:row r="5">
      <x:c r="A5" s="79" t="str">
        <x:v>explain_series</x:v>
      </x:c>
      <x:c r="B5" s="80" t="str">
        <x:v>Giải thích dòng máy</x:v>
      </x:c>
      <x:c r="C5" s="80" t="str">
        <x:v>Hỏi công nghệ/nguyên lý/ứng dụng.</x:v>
      </x:c>
      <x:c r="D5" s="80" t="str">
        <x:v>Use Series + Selection_Tags + source notes</x:v>
      </x:c>
      <x:c r="E5" s="82" t="str">
        <x:v>Phân biệt mô tả nguồn và logic app.</x:v>
      </x:c>
    </x:row>
    <x:row r="6">
      <x:c r="A6" s="79" t="str">
        <x:v>convert_fineness</x:v>
      </x:c>
      <x:c r="B6" s="80" t="str">
        <x:v>Quy đổi độ mịn</x:v>
      </x:c>
      <x:c r="C6" s="80" t="str">
        <x:v>Hỏi mesh/µm/mm.</x:v>
      </x:c>
      <x:c r="D6" s="80" t="str">
        <x:v>Use app converter / validated conversion table</x:v>
      </x:c>
      <x:c r="E6" s="82" t="str">
        <x:v>Nêu rằng mesh↔µm là giá trị gần đúng nếu dùng bảng quy đổi.</x:v>
      </x:c>
    </x:row>
    <x:row r="7">
      <x:c r="A7" s="83" t="str">
        <x:v>process_hint</x:v>
      </x:c>
      <x:c r="B7" s="84" t="str">
        <x:v>Gợi ý quy trình</x:v>
      </x:c>
      <x:c r="C7" s="84" t="str">
        <x:v>Yêu cầu nghiền sơ bộ, hút bụi, khí nén, nitơ...</x:v>
      </x:c>
      <x:c r="D7" s="84" t="str">
        <x:v>Use requirements/rules and candidate series</x:v>
      </x:c>
      <x:c r="E7" s="85" t="str">
        <x:v>Không thiết kế hệ thống ngoài dữ liệu nếu chưa có thông số.</x:v>
      </x:c>
    </x:row>
  </x:sheetData>
  <x:pageMargins left="0.7" right="0.7" top="0.75" bottom="0.75" header="0.3" footer="0.3"/>
  <x:tableParts count="1">
    <x:tablePart xmlns:r="http://schemas.openxmlformats.org/officeDocument/2006/relationships" r:id="R237fb37464c041ed"/>
  </x:tableParts>
</x:worksheet>
</file>

<file path=xl/worksheets/sheet16.xml><?xml version="1.0" encoding="utf-8"?>
<x:worksheet xmlns:x="http://schemas.openxmlformats.org/spreadsheetml/2006/main">
  <x:sheetFormatPr defaultRowHeight="15"/>
  <x:cols>
    <x:col min="1" max="1" width="22" hidden="0" customWidth="1"/>
    <x:col min="2" max="2" width="110" hidden="0" customWidth="1"/>
  </x:cols>
  <x:sheetData>
    <x:row r="1">
      <x:c r="A1" s="95" t="str">
        <x:v>section</x:v>
      </x:c>
      <x:c r="B1" s="97" t="str">
        <x:v>instruction</x:v>
      </x:c>
    </x:row>
    <x:row r="2">
      <x:c r="A2" s="79" t="str">
        <x:v>ROLE</x:v>
      </x:c>
      <x:c r="B2" s="82" t="str">
        <x:v>Bạn là trợ lý kỹ thuật cho module Máy nghiền của DTC Product. Nhiệm vụ là hiểu yêu cầu người dùng, truy vấn database và giải thích kết quả.</x:v>
      </x:c>
    </x:row>
    <x:row r="3">
      <x:c r="A3" s="79" t="str">
        <x:v>SOURCE_OF_TRUTH</x:v>
      </x:c>
      <x:c r="B3" s="82" t="str">
        <x:v>Thông số model chỉ được lấy từ Models và Extra_Specs. Ứng dụng/nguyên lý lấy từ Series. Tương thích nguyên liệu lấy từ Materials + Material_Series_Map khi status=Verified.</x:v>
      </x:c>
    </x:row>
    <x:row r="4">
      <x:c r="A4" s="79" t="str">
        <x:v>NO_HALLUCINATION</x:v>
      </x:c>
      <x:c r="B4" s="82" t="str">
        <x:v>Không tự tạo model, công suất, độ mịn, motor, kích thước, áp suất hoặc tính năng không có trong database.</x:v>
      </x:c>
    </x:row>
    <x:row r="5">
      <x:c r="A5" s="79" t="str">
        <x:v>SELECTION</x:v>
      </x:c>
      <x:c r="B5" s="82" t="str">
        <x:v>Khi chọn máy, trước hết áp dụng hard filters về năng suất, kích thước đầu vào (nếu có dữ liệu), độ mịn/đơn vị; sau đó mới cộng/trừ điểm vật liệu.</x:v>
      </x:c>
    </x:row>
    <x:row r="6">
      <x:c r="A6" s="79" t="str">
        <x:v>MISSING_INPUT</x:v>
      </x:c>
      <x:c r="B6" s="82" t="str">
        <x:v>Nếu thiếu thông tin quan trọng khiến không thể chọn model cụ thể, hỏi ngắn gọn phần còn thiếu thay vì đoán.</x:v>
      </x:c>
    </x:row>
    <x:row r="7">
      <x:c r="A7" s="79" t="str">
        <x:v>OUTPUT</x:v>
      </x:c>
      <x:c r="B7" s="82" t="str">
        <x:v>Trả tối đa 3 ứng viên đầu tiên. Với mỗi ứng viên: model, dòng máy, dải công suất, độ mịn, lý do khớp, cảnh báo/điểm cần xác minh.</x:v>
      </x:c>
    </x:row>
    <x:row r="8">
      <x:c r="A8" s="79" t="str">
        <x:v>CONFIDENCE</x:v>
      </x:c>
      <x:c r="B8" s="82" t="str">
        <x:v>Không gọi kết quả là 'đảm bảo phù hợp'. Dùng 'ứng viên phù hợp theo database' và nêu cần test mẫu khi hiệu suất phụ thuộc nguyên liệu.</x:v>
      </x:c>
    </x:row>
    <x:row r="9">
      <x:c r="A9" s="79" t="str">
        <x:v>NO_MATCH</x:v>
      </x:c>
      <x:c r="B9" s="82" t="str">
        <x:v>Nếu không có model đáp ứng đầy đủ, nói rõ không có exact match; có thể hiển thị near-match nhưng phải chỉ rõ điều kiện nào không đạt.</x:v>
      </x:c>
    </x:row>
    <x:row r="10">
      <x:c r="A10" s="83" t="str">
        <x:v>SPECIAL</x:v>
      </x:c>
      <x:c r="B10" s="85" t="str">
        <x:v>ASK/jet mill: hiển thị yêu cầu khí nén và cảnh báo đơn vị tiêu thụ khí nguồn cần xác minh. Cryogenic: nói rõ cần nitơ lỏng.</x:v>
      </x:c>
    </x:row>
  </x:sheetData>
  <x:pageMargins left="0.7" right="0.7" top="0.75" bottom="0.75" header="0.3" footer="0.3"/>
  <x:tableParts count="1">
    <x:tablePart xmlns:r="http://schemas.openxmlformats.org/officeDocument/2006/relationships" r:id="R360e7d05e76f4549"/>
  </x:tableParts>
</x:worksheet>
</file>

<file path=xl/worksheets/sheet17.xml><?xml version="1.0" encoding="utf-8"?>
<x:worksheet xmlns:x="http://schemas.openxmlformats.org/spreadsheetml/2006/main">
  <x:sheetFormatPr defaultRowHeight="15"/>
  <x:cols>
    <x:col min="1" max="1" width="16" hidden="0" customWidth="1"/>
    <x:col min="2" max="2" width="55" hidden="0" customWidth="1"/>
    <x:col min="3" max="3" width="22" hidden="0" customWidth="1"/>
    <x:col min="4" max="4" width="70" hidden="0" customWidth="1"/>
    <x:col min="5" max="5" width="65" hidden="0" customWidth="1"/>
  </x:cols>
  <x:sheetData>
    <x:row r="1">
      <x:c r="A1" s="95" t="str">
        <x:v>example_id</x:v>
      </x:c>
      <x:c r="B1" s="96" t="str">
        <x:v>user_message</x:v>
      </x:c>
      <x:c r="C1" s="96" t="str">
        <x:v>intent</x:v>
      </x:c>
      <x:c r="D1" s="96" t="str">
        <x:v>structured_query_example</x:v>
      </x:c>
      <x:c r="E1" s="97" t="str">
        <x:v>expected_behavior</x:v>
      </x:c>
    </x:row>
    <x:row r="2">
      <x:c r="A2" s="79" t="str">
        <x:v>EX-001</x:v>
      </x:c>
      <x:c r="B2" s="80" t="str">
        <x:v>Tôi cần nghiền tiêu 1 tấn/giờ, độ mịn 50 mesh, đầu vào 15 mm.</x:v>
      </x:c>
      <x:c r="C2" s="80" t="str">
        <x:v>select_machine</x:v>
      </x:c>
      <x:c r="D2" s="80" t="str">
        <x:v>{"material_name":"Tiêu","capacity_kg_h":1000,"fineness_value":50,"fineness_unit":"mesh","input_size_mm":15}</x:v>
      </x:c>
      <x:c r="E2" s="82" t="str">
        <x:v>PEPPER đang Needs validation: chỉ lọc kỹ thuật theo model; không tự suy luận đặc tính tiêu.</x:v>
      </x:c>
    </x:row>
    <x:row r="3">
      <x:c r="A3" s="79" t="str">
        <x:v>EX-002</x:v>
      </x:c>
      <x:c r="B3" s="80" t="str">
        <x:v>Tôi cần nghiền vừng 200 kg/h khoảng 20 mesh.</x:v>
      </x:c>
      <x:c r="C3" s="80" t="str">
        <x:v>select_machine</x:v>
      </x:c>
      <x:c r="D3" s="80" t="str">
        <x:v>{"material_id":"SESAME","capacity_kg_h":200,"fineness_value":20,"fineness_unit":"mesh"}</x:v>
      </x:c>
      <x:c r="E3" s="82" t="str">
        <x:v>Có thể cộng điểm BS_ROLLER vì compatibility đã Verified từ PDF.</x:v>
      </x:c>
    </x:row>
    <x:row r="4">
      <x:c r="A4" s="79" t="str">
        <x:v>EX-003</x:v>
      </x:c>
      <x:c r="B4" s="80" t="str">
        <x:v>So sánh ASP-450 và ASZ-450.</x:v>
      </x:c>
      <x:c r="C4" s="80" t="str">
        <x:v>compare_models</x:v>
      </x:c>
      <x:c r="D4" s="80" t="str">
        <x:v>{"models":["ASP-450","ASZ-450"]}</x:v>
      </x:c>
      <x:c r="E4" s="82" t="str">
        <x:v>Tra cứu exact model rồi so sánh; không suy đoán trường trống.</x:v>
      </x:c>
    </x:row>
    <x:row r="5">
      <x:c r="A5" s="83" t="str">
        <x:v>EX-004</x:v>
      </x:c>
      <x:c r="B5" s="84" t="str">
        <x:v>ASK-300 cần khí nén bao nhiêu?</x:v>
      </x:c>
      <x:c r="C5" s="84" t="str">
        <x:v>lookup_spec</x:v>
      </x:c>
      <x:c r="D5" s="84" t="str">
        <x:v>{"model":"ASK-300","fields":["pressure","compressed_air_consumption"]}</x:v>
      </x:c>
      <x:c r="E5" s="85" t="str">
        <x:v>Hiển thị dữ liệu nguồn và cảnh báo đơn vị tiêu thụ khí cần xác minh.</x:v>
      </x:c>
    </x:row>
  </x:sheetData>
  <x:pageMargins left="0.7" right="0.7" top="0.75" bottom="0.75" header="0.3" footer="0.3"/>
  <x:tableParts count="1">
    <x:tablePart xmlns:r="http://schemas.openxmlformats.org/officeDocument/2006/relationships" r:id="R852f83395c7c4bb2"/>
  </x:tableParts>
</x:worksheet>
</file>

<file path=xl/worksheets/sheet18.xml><?xml version="1.0" encoding="utf-8"?>
<x:worksheet xmlns:x="http://schemas.openxmlformats.org/spreadsheetml/2006/main">
  <x:sheetFormatPr defaultRowHeight="15"/>
  <x:cols>
    <x:col min="1" max="1" width="32" hidden="0" customWidth="1"/>
    <x:col min="2" max="2" width="16" hidden="0" customWidth="1"/>
    <x:col min="3" max="3" width="26" hidden="0" customWidth="1"/>
    <x:col min="4" max="4" width="14" hidden="0" customWidth="1"/>
    <x:col min="5" max="5" width="14" hidden="0" customWidth="1"/>
    <x:col min="6" max="6" width="14" hidden="0" customWidth="1"/>
    <x:col min="7" max="7" width="14" hidden="0" customWidth="1"/>
    <x:col min="8" max="8" width="14" hidden="0" customWidth="1"/>
    <x:col min="9" max="9" width="10" hidden="0" customWidth="1"/>
    <x:col min="10" max="10" width="14" hidden="0" customWidth="1"/>
    <x:col min="11" max="11" width="12" hidden="0" customWidth="1"/>
    <x:col min="12" max="12" width="14" hidden="0" customWidth="1"/>
    <x:col min="13" max="13" width="16" hidden="0" customWidth="1"/>
    <x:col min="14" max="14" width="14" hidden="0" customWidth="1"/>
    <x:col min="15" max="15" width="14" hidden="0" customWidth="1"/>
    <x:col min="16" max="16" width="20" hidden="0" customWidth="1"/>
  </x:cols>
  <x:sheetData>
    <x:row r="1">
      <x:c r="A1" s="107" t="str">
        <x:v>DTC PRODUCT – AI SELECTION ENGINE TEST</x:v>
      </x:c>
      <x:c r="B1" s="107" t="str">
        <x:v>DTC PRODUCT – AI SELECTION ENGINE TEST</x:v>
      </x:c>
      <x:c r="C1" s="107" t="str">
        <x:v>DTC PRODUCT – AI SELECTION ENGINE TEST</x:v>
      </x:c>
      <x:c r="D1" s="107" t="str">
        <x:v>DTC PRODUCT – AI SELECTION ENGINE TEST</x:v>
      </x:c>
      <x:c r="E1" s="107" t="str">
        <x:v>DTC PRODUCT – AI SELECTION ENGINE TEST</x:v>
      </x:c>
      <x:c r="F1" s="107" t="str">
        <x:v>DTC PRODUCT – AI SELECTION ENGINE TEST</x:v>
      </x:c>
      <x:c r="G1" s="107" t="str">
        <x:v>DTC PRODUCT – AI SELECTION ENGINE TEST</x:v>
      </x:c>
      <x:c r="H1" s="107" t="str">
        <x:v>DTC PRODUCT – AI SELECTION ENGINE TEST</x:v>
      </x:c>
    </x:row>
    <x:row r="3">
      <x:c r="A3" s="95" t="str">
        <x:v>Input</x:v>
      </x:c>
      <x:c r="B3" s="96" t="str">
        <x:v>Value</x:v>
      </x:c>
      <x:c r="C3" s="97" t="str">
        <x:v>Unit / Note</x:v>
      </x:c>
    </x:row>
    <x:row r="4">
      <x:c r="A4" s="76" t="str">
        <x:v>Capacity</x:v>
      </x:c>
      <x:c r="B4" s="77" t="n">
        <x:v>1000</x:v>
      </x:c>
      <x:c r="C4" s="78" t="str">
        <x:v>kg/h</x:v>
      </x:c>
    </x:row>
    <x:row r="5">
      <x:c r="A5" s="79" t="str">
        <x:v>Input size</x:v>
      </x:c>
      <x:c r="B5" s="80" t="n">
        <x:v>15</x:v>
      </x:c>
      <x:c r="C5" s="82" t="str">
        <x:v>mm (để trống nếu chưa biết)</x:v>
      </x:c>
    </x:row>
    <x:row r="6">
      <x:c r="A6" s="79" t="str">
        <x:v>Fineness</x:v>
      </x:c>
      <x:c r="B6" s="80" t="n">
        <x:v>50</x:v>
      </x:c>
      <x:c r="C6" s="82" t="str"/>
    </x:row>
    <x:row r="7">
      <x:c r="A7" s="79" t="str">
        <x:v>Fineness unit</x:v>
      </x:c>
      <x:c r="B7" s="80" t="str">
        <x:v>mesh</x:v>
      </x:c>
      <x:c r="C7" s="82" t="str">
        <x:v>mesh / µm / mm</x:v>
      </x:c>
    </x:row>
    <x:row r="8">
      <x:c r="A8" s="83" t="str">
        <x:v>Material ID</x:v>
      </x:c>
      <x:c r="B8" s="84" t="str">
        <x:v>PEPPER</x:v>
      </x:c>
      <x:c r="C8" s="85" t="str">
        <x:v>Chọn từ Materials.material_id</x:v>
      </x:c>
    </x:row>
    <x:row r="9">
      <x:c r="A9" s="115" t="str">
        <x:v>Kết quả bên dưới là bộ lọc kỹ thuật thử nghiệm. Hãy filter cột Status và sort Total Score giảm dần. Material score chỉ dùng các dòng Verified.</x:v>
      </x:c>
      <x:c r="B9" s="115" t="str">
        <x:v>Kết quả bên dưới là bộ lọc kỹ thuật thử nghiệm. Hãy filter cột Status và sort Total Score giảm dần. Material score chỉ dùng các dòng Verified.</x:v>
      </x:c>
      <x:c r="C9" s="115" t="str">
        <x:v>Kết quả bên dưới là bộ lọc kỹ thuật thử nghiệm. Hãy filter cột Status và sort Total Score giảm dần. Material score chỉ dùng các dòng Verified.</x:v>
      </x:c>
      <x:c r="D9" s="115" t="str">
        <x:v>Kết quả bên dưới là bộ lọc kỹ thuật thử nghiệm. Hãy filter cột Status và sort Total Score giảm dần. Material score chỉ dùng các dòng Verified.</x:v>
      </x:c>
      <x:c r="E9" s="115" t="str">
        <x:v>Kết quả bên dưới là bộ lọc kỹ thuật thử nghiệm. Hãy filter cột Status và sort Total Score giảm dần. Material score chỉ dùng các dòng Verified.</x:v>
      </x:c>
      <x:c r="F9" s="115" t="str">
        <x:v>Kết quả bên dưới là bộ lọc kỹ thuật thử nghiệm. Hãy filter cột Status và sort Total Score giảm dần. Material score chỉ dùng các dòng Verified.</x:v>
      </x:c>
      <x:c r="G9" s="115" t="str">
        <x:v>Kết quả bên dưới là bộ lọc kỹ thuật thử nghiệm. Hãy filter cột Status và sort Total Score giảm dần. Material score chỉ dùng các dòng Verified.</x:v>
      </x:c>
      <x:c r="H9" s="115" t="str">
        <x:v>Kết quả bên dưới là bộ lọc kỹ thuật thử nghiệm. Hãy filter cột Status và sort Total Score giảm dần. Material score chỉ dùng các dòng Verified.</x:v>
      </x:c>
      <x:c r="I9" s="115" t="str">
        <x:v>Kết quả bên dưới là bộ lọc kỹ thuật thử nghiệm. Hãy filter cột Status và sort Total Score giảm dần. Material score chỉ dùng các dòng Verified.</x:v>
      </x:c>
      <x:c r="J9" s="115" t="str">
        <x:v>Kết quả bên dưới là bộ lọc kỹ thuật thử nghiệm. Hãy filter cột Status và sort Total Score giảm dần. Material score chỉ dùng các dòng Verified.</x:v>
      </x:c>
      <x:c r="K9" s="115" t="str">
        <x:v>Kết quả bên dưới là bộ lọc kỹ thuật thử nghiệm. Hãy filter cột Status và sort Total Score giảm dần. Material score chỉ dùng các dòng Verified.</x:v>
      </x:c>
      <x:c r="L9" s="115" t="str">
        <x:v>Kết quả bên dưới là bộ lọc kỹ thuật thử nghiệm. Hãy filter cột Status và sort Total Score giảm dần. Material score chỉ dùng các dòng Verified.</x:v>
      </x:c>
      <x:c r="M9" s="115" t="str">
        <x:v>Kết quả bên dưới là bộ lọc kỹ thuật thử nghiệm. Hãy filter cột Status và sort Total Score giảm dần. Material score chỉ dùng các dòng Verified.</x:v>
      </x:c>
      <x:c r="N9" s="115" t="str">
        <x:v>Kết quả bên dưới là bộ lọc kỹ thuật thử nghiệm. Hãy filter cột Status và sort Total Score giảm dần. Material score chỉ dùng các dòng Verified.</x:v>
      </x:c>
      <x:c r="O9" s="115" t="str">
        <x:v>Kết quả bên dưới là bộ lọc kỹ thuật thử nghiệm. Hãy filter cột Status và sort Total Score giảm dần. Material score chỉ dùng các dòng Verified.</x:v>
      </x:c>
      <x:c r="P9" s="115" t="str">
        <x:v>Kết quả bên dưới là bộ lọc kỹ thuật thử nghiệm. Hãy filter cột Status và sort Total Score giảm dần. Material score chỉ dùng các dòng Verified.</x:v>
      </x:c>
    </x:row>
    <x:row r="10">
      <x:c r="A10" s="95" t="str">
        <x:v>machine_id</x:v>
      </x:c>
      <x:c r="B10" s="96" t="str">
        <x:v>model</x:v>
      </x:c>
      <x:c r="C10" s="96" t="str">
        <x:v>series_code</x:v>
      </x:c>
      <x:c r="D10" s="96" t="str">
        <x:v>capacity_min</x:v>
      </x:c>
      <x:c r="E10" s="96" t="str">
        <x:v>capacity_max</x:v>
      </x:c>
      <x:c r="F10" s="96" t="str">
        <x:v>input_max_mm</x:v>
      </x:c>
      <x:c r="G10" s="96" t="str">
        <x:v>fineness_min</x:v>
      </x:c>
      <x:c r="H10" s="96" t="str">
        <x:v>fineness_max</x:v>
      </x:c>
      <x:c r="I10" s="96" t="str">
        <x:v>unit</x:v>
      </x:c>
      <x:c r="J10" s="96" t="str">
        <x:v>capacity_match</x:v>
      </x:c>
      <x:c r="K10" s="96" t="str">
        <x:v>input_match</x:v>
      </x:c>
      <x:c r="L10" s="96" t="str">
        <x:v>fineness_match</x:v>
      </x:c>
      <x:c r="M10" s="96" t="str">
        <x:v>technical_score</x:v>
      </x:c>
      <x:c r="N10" s="96" t="str">
        <x:v>material_adj</x:v>
      </x:c>
      <x:c r="O10" s="96" t="str">
        <x:v>total_score</x:v>
      </x:c>
      <x:c r="P10" s="97" t="str">
        <x:v>status</x:v>
      </x:c>
    </x:row>
    <x:row r="11">
      <x:c r="A11" s="79" t="str">
        <x:f>Models!A2</x:f>
        <x:v>BSC_COARSE__ASC-200</x:v>
      </x:c>
      <x:c r="B11" s="80" t="str">
        <x:f>Models!D2</x:f>
        <x:v>ASC-200</x:v>
      </x:c>
      <x:c r="C11" s="80" t="str">
        <x:f>Models!C2</x:f>
        <x:v>BSC_COARSE</x:v>
      </x:c>
      <x:c r="D11" s="80" t="n">
        <x:f>Models!G2</x:f>
        <x:v>80</x:v>
      </x:c>
      <x:c r="E11" s="80" t="n">
        <x:f>Models!H2</x:f>
        <x:v>300</x:v>
      </x:c>
      <x:c r="F11" s="80" t="n">
        <x:f>Models!I2</x:f>
        <x:v>100</x:v>
      </x:c>
      <x:c r="G11" s="80" t="n">
        <x:f>Models!K2</x:f>
        <x:v>0.5</x:v>
      </x:c>
      <x:c r="H11" s="80" t="n">
        <x:f>Models!L2</x:f>
        <x:v>20</x:v>
      </x:c>
      <x:c r="I11" s="80" t="str">
        <x:f>Models!M2</x:f>
        <x:v>mm</x:v>
      </x:c>
      <x:c r="J11" s="80" t="n">
        <x:f>IF(AND($B$4&gt;=D11,$B$4&lt;=E11),1,0)</x:f>
        <x:v>0</x:v>
      </x:c>
      <x:c r="K11" s="80" t="n">
        <x:f>IF($B$5="",1,IF(F11="",1,IF($B$5&lt;=F11,1,0)))</x:f>
        <x:v>1</x:v>
      </x:c>
      <x:c r="L11" s="80" t="n">
        <x:f>IF($B$6="",1,IF(AND($B$7=I11,$B$6&gt;=G11,$B$6&lt;=H11),1,0))</x:f>
        <x:v>0</x:v>
      </x:c>
      <x:c r="M11" s="80" t="n">
        <x:f>J11*40+K11*20+L11*40</x:f>
        <x:v>20</x:v>
      </x:c>
      <x:c r="N11" s="80" t="n">
        <x:f>IF($B$8="",0,SUMIFS(Material_Series_Map!$C$2:$C$300,Material_Series_Map!$A$2:$A$300,$B$8,Material_Series_Map!$B$2:$B$300,C11,Material_Series_Map!$G$2:$G$300,"Verified"))</x:f>
        <x:v>0</x:v>
      </x:c>
      <x:c r="O11" s="80" t="n">
        <x:f>MIN(100,MAX(0,M11+N11))</x:f>
        <x:v>20</x:v>
      </x:c>
      <x:c r="P11" s="82" t="str">
        <x:f>IF(OR(J11=0,K11=0,L11=0),"NO MATCH",IF(O11&gt;=80,"STRONG CANDIDATE","CANDIDATE"))</x:f>
        <x:v>NO MATCH</x:v>
      </x:c>
    </x:row>
    <x:row r="12">
      <x:c r="A12" s="79" t="str">
        <x:f>Models!A3</x:f>
        <x:v>BSC_COARSE__ASC-300</x:v>
      </x:c>
      <x:c r="B12" s="80" t="str">
        <x:f>Models!D3</x:f>
        <x:v>ASC-300</x:v>
      </x:c>
      <x:c r="C12" s="80" t="str">
        <x:f>Models!C3</x:f>
        <x:v>BSC_COARSE</x:v>
      </x:c>
      <x:c r="D12" s="80" t="n">
        <x:f>Models!G3</x:f>
        <x:v>100</x:v>
      </x:c>
      <x:c r="E12" s="80" t="n">
        <x:f>Models!H3</x:f>
        <x:v>800</x:v>
      </x:c>
      <x:c r="F12" s="80" t="n">
        <x:f>Models!I3</x:f>
        <x:v>100</x:v>
      </x:c>
      <x:c r="G12" s="80" t="n">
        <x:f>Models!K3</x:f>
        <x:v>0.5</x:v>
      </x:c>
      <x:c r="H12" s="80" t="n">
        <x:f>Models!L3</x:f>
        <x:v>20</x:v>
      </x:c>
      <x:c r="I12" s="80" t="str">
        <x:f>Models!M3</x:f>
        <x:v>mm</x:v>
      </x:c>
      <x:c r="J12" s="80" t="n">
        <x:f>IF(AND($B$4&gt;=D12,$B$4&lt;=E12),1,0)</x:f>
        <x:v>0</x:v>
      </x:c>
      <x:c r="K12" s="80" t="n">
        <x:f>IF($B$5="",1,IF(F12="",1,IF($B$5&lt;=F12,1,0)))</x:f>
        <x:v>1</x:v>
      </x:c>
      <x:c r="L12" s="80" t="n">
        <x:f>IF($B$6="",1,IF(AND($B$7=I12,$B$6&gt;=G12,$B$6&lt;=H12),1,0))</x:f>
        <x:v>0</x:v>
      </x:c>
      <x:c r="M12" s="80" t="n">
        <x:f>J12*40+K12*20+L12*40</x:f>
        <x:v>20</x:v>
      </x:c>
      <x:c r="N12" s="80" t="n">
        <x:f>IF($B$8="",0,SUMIFS(Material_Series_Map!$C$2:$C$300,Material_Series_Map!$A$2:$A$300,$B$8,Material_Series_Map!$B$2:$B$300,C12,Material_Series_Map!$G$2:$G$300,"Verified"))</x:f>
        <x:v>0</x:v>
      </x:c>
      <x:c r="O12" s="80" t="n">
        <x:f>MIN(100,MAX(0,M12+N12))</x:f>
        <x:v>20</x:v>
      </x:c>
      <x:c r="P12" s="82" t="str">
        <x:f>IF(OR(J12=0,K12=0,L12=0),"NO MATCH",IF(O12&gt;=80,"STRONG CANDIDATE","CANDIDATE"))</x:f>
        <x:v>NO MATCH</x:v>
      </x:c>
    </x:row>
    <x:row r="13">
      <x:c r="A13" s="79" t="str">
        <x:f>Models!A4</x:f>
        <x:v>BSC_COARSE__ASC-400</x:v>
      </x:c>
      <x:c r="B13" s="80" t="str">
        <x:f>Models!D4</x:f>
        <x:v>ASC-400</x:v>
      </x:c>
      <x:c r="C13" s="80" t="str">
        <x:f>Models!C4</x:f>
        <x:v>BSC_COARSE</x:v>
      </x:c>
      <x:c r="D13" s="80" t="n">
        <x:f>Models!G4</x:f>
        <x:v>200</x:v>
      </x:c>
      <x:c r="E13" s="80" t="n">
        <x:f>Models!H4</x:f>
        <x:v>1000</x:v>
      </x:c>
      <x:c r="F13" s="80" t="n">
        <x:f>Models!I4</x:f>
        <x:v>100</x:v>
      </x:c>
      <x:c r="G13" s="80" t="n">
        <x:f>Models!K4</x:f>
        <x:v>0.5</x:v>
      </x:c>
      <x:c r="H13" s="80" t="n">
        <x:f>Models!L4</x:f>
        <x:v>20</x:v>
      </x:c>
      <x:c r="I13" s="80" t="str">
        <x:f>Models!M4</x:f>
        <x:v>mm</x:v>
      </x:c>
      <x:c r="J13" s="80" t="n">
        <x:f>IF(AND($B$4&gt;=D13,$B$4&lt;=E13),1,0)</x:f>
        <x:v>1</x:v>
      </x:c>
      <x:c r="K13" s="80" t="n">
        <x:f>IF($B$5="",1,IF(F13="",1,IF($B$5&lt;=F13,1,0)))</x:f>
        <x:v>1</x:v>
      </x:c>
      <x:c r="L13" s="80" t="n">
        <x:f>IF($B$6="",1,IF(AND($B$7=I13,$B$6&gt;=G13,$B$6&lt;=H13),1,0))</x:f>
        <x:v>0</x:v>
      </x:c>
      <x:c r="M13" s="80" t="n">
        <x:f>J13*40+K13*20+L13*40</x:f>
        <x:v>60</x:v>
      </x:c>
      <x:c r="N13" s="80" t="n">
        <x:f>IF($B$8="",0,SUMIFS(Material_Series_Map!$C$2:$C$300,Material_Series_Map!$A$2:$A$300,$B$8,Material_Series_Map!$B$2:$B$300,C13,Material_Series_Map!$G$2:$G$300,"Verified"))</x:f>
        <x:v>0</x:v>
      </x:c>
      <x:c r="O13" s="80" t="n">
        <x:f>MIN(100,MAX(0,M13+N13))</x:f>
        <x:v>60</x:v>
      </x:c>
      <x:c r="P13" s="82" t="str">
        <x:f>IF(OR(J13=0,K13=0,L13=0),"NO MATCH",IF(O13&gt;=80,"STRONG CANDIDATE","CANDIDATE"))</x:f>
        <x:v>NO MATCH</x:v>
      </x:c>
    </x:row>
    <x:row r="14">
      <x:c r="A14" s="79" t="str">
        <x:f>Models!A5</x:f>
        <x:v>BSC_COARSE__ASC-600</x:v>
      </x:c>
      <x:c r="B14" s="80" t="str">
        <x:f>Models!D5</x:f>
        <x:v>ASC-600</x:v>
      </x:c>
      <x:c r="C14" s="80" t="str">
        <x:f>Models!C5</x:f>
        <x:v>BSC_COARSE</x:v>
      </x:c>
      <x:c r="D14" s="80" t="n">
        <x:f>Models!G5</x:f>
        <x:v>500</x:v>
      </x:c>
      <x:c r="E14" s="80" t="n">
        <x:f>Models!H5</x:f>
        <x:v>1500</x:v>
      </x:c>
      <x:c r="F14" s="80" t="n">
        <x:f>Models!I5</x:f>
        <x:v>100</x:v>
      </x:c>
      <x:c r="G14" s="80" t="n">
        <x:f>Models!K5</x:f>
        <x:v>0.5</x:v>
      </x:c>
      <x:c r="H14" s="80" t="n">
        <x:f>Models!L5</x:f>
        <x:v>20</x:v>
      </x:c>
      <x:c r="I14" s="80" t="str">
        <x:f>Models!M5</x:f>
        <x:v>mm</x:v>
      </x:c>
      <x:c r="J14" s="80" t="n">
        <x:f>IF(AND($B$4&gt;=D14,$B$4&lt;=E14),1,0)</x:f>
        <x:v>1</x:v>
      </x:c>
      <x:c r="K14" s="80" t="n">
        <x:f>IF($B$5="",1,IF(F14="",1,IF($B$5&lt;=F14,1,0)))</x:f>
        <x:v>1</x:v>
      </x:c>
      <x:c r="L14" s="80" t="n">
        <x:f>IF($B$6="",1,IF(AND($B$7=I14,$B$6&gt;=G14,$B$6&lt;=H14),1,0))</x:f>
        <x:v>0</x:v>
      </x:c>
      <x:c r="M14" s="80" t="n">
        <x:f>J14*40+K14*20+L14*40</x:f>
        <x:v>60</x:v>
      </x:c>
      <x:c r="N14" s="80" t="n">
        <x:f>IF($B$8="",0,SUMIFS(Material_Series_Map!$C$2:$C$300,Material_Series_Map!$A$2:$A$300,$B$8,Material_Series_Map!$B$2:$B$300,C14,Material_Series_Map!$G$2:$G$300,"Verified"))</x:f>
        <x:v>0</x:v>
      </x:c>
      <x:c r="O14" s="80" t="n">
        <x:f>MIN(100,MAX(0,M14+N14))</x:f>
        <x:v>60</x:v>
      </x:c>
      <x:c r="P14" s="82" t="str">
        <x:f>IF(OR(J14=0,K14=0,L14=0),"NO MATCH",IF(O14&gt;=80,"STRONG CANDIDATE","CANDIDATE"))</x:f>
        <x:v>NO MATCH</x:v>
      </x:c>
    </x:row>
    <x:row r="15">
      <x:c r="A15" s="79" t="str">
        <x:f>Models!A6</x:f>
        <x:v>BSC_COARSE__ASC-1000</x:v>
      </x:c>
      <x:c r="B15" s="80" t="str">
        <x:f>Models!D6</x:f>
        <x:v>ASC-1000</x:v>
      </x:c>
      <x:c r="C15" s="80" t="str">
        <x:f>Models!C6</x:f>
        <x:v>BSC_COARSE</x:v>
      </x:c>
      <x:c r="D15" s="80" t="n">
        <x:f>Models!G6</x:f>
        <x:v>1000</x:v>
      </x:c>
      <x:c r="E15" s="80" t="n">
        <x:f>Models!H6</x:f>
        <x:v>2500</x:v>
      </x:c>
      <x:c r="F15" s="80" t="n">
        <x:f>Models!I6</x:f>
        <x:v>100</x:v>
      </x:c>
      <x:c r="G15" s="80" t="n">
        <x:f>Models!K6</x:f>
        <x:v>0.5</x:v>
      </x:c>
      <x:c r="H15" s="80" t="n">
        <x:f>Models!L6</x:f>
        <x:v>20</x:v>
      </x:c>
      <x:c r="I15" s="80" t="str">
        <x:f>Models!M6</x:f>
        <x:v>mm</x:v>
      </x:c>
      <x:c r="J15" s="80" t="n">
        <x:f>IF(AND($B$4&gt;=D15,$B$4&lt;=E15),1,0)</x:f>
        <x:v>1</x:v>
      </x:c>
      <x:c r="K15" s="80" t="n">
        <x:f>IF($B$5="",1,IF(F15="",1,IF($B$5&lt;=F15,1,0)))</x:f>
        <x:v>1</x:v>
      </x:c>
      <x:c r="L15" s="80" t="n">
        <x:f>IF($B$6="",1,IF(AND($B$7=I15,$B$6&gt;=G15,$B$6&lt;=H15),1,0))</x:f>
        <x:v>0</x:v>
      </x:c>
      <x:c r="M15" s="80" t="n">
        <x:f>J15*40+K15*20+L15*40</x:f>
        <x:v>60</x:v>
      </x:c>
      <x:c r="N15" s="80" t="n">
        <x:f>IF($B$8="",0,SUMIFS(Material_Series_Map!$C$2:$C$300,Material_Series_Map!$A$2:$A$300,$B$8,Material_Series_Map!$B$2:$B$300,C15,Material_Series_Map!$G$2:$G$300,"Verified"))</x:f>
        <x:v>0</x:v>
      </x:c>
      <x:c r="O15" s="80" t="n">
        <x:f>MIN(100,MAX(0,M15+N15))</x:f>
        <x:v>60</x:v>
      </x:c>
      <x:c r="P15" s="82" t="str">
        <x:f>IF(OR(J15=0,K15=0,L15=0),"NO MATCH",IF(O15&gt;=80,"STRONG CANDIDATE","CANDIDATE"))</x:f>
        <x:v>NO MATCH</x:v>
      </x:c>
    </x:row>
    <x:row r="16">
      <x:c r="A16" s="79" t="str">
        <x:f>Models!A7</x:f>
        <x:v>BS_SMALL_HAMMER__AS-180</x:v>
      </x:c>
      <x:c r="B16" s="80" t="str">
        <x:f>Models!D7</x:f>
        <x:v>AS-180</x:v>
      </x:c>
      <x:c r="C16" s="80" t="str">
        <x:f>Models!C7</x:f>
        <x:v>BS_SMALL_HAMMER</x:v>
      </x:c>
      <x:c r="D16" s="80" t="n">
        <x:f>Models!G7</x:f>
        <x:v>3</x:v>
      </x:c>
      <x:c r="E16" s="80" t="n">
        <x:f>Models!H7</x:f>
        <x:v>50</x:v>
      </x:c>
      <x:c r="F16" s="80" t="n">
        <x:f>Models!I7</x:f>
        <x:v>10</x:v>
      </x:c>
      <x:c r="G16" s="80" t="n">
        <x:f>Models!K7</x:f>
        <x:v>10</x:v>
      </x:c>
      <x:c r="H16" s="80" t="n">
        <x:f>Models!L7</x:f>
        <x:v>120</x:v>
      </x:c>
      <x:c r="I16" s="80" t="str">
        <x:f>Models!M7</x:f>
        <x:v>mesh</x:v>
      </x:c>
      <x:c r="J16" s="80" t="n">
        <x:f>IF(AND($B$4&gt;=D16,$B$4&lt;=E16),1,0)</x:f>
        <x:v>0</x:v>
      </x:c>
      <x:c r="K16" s="80" t="n">
        <x:f>IF($B$5="",1,IF(F16="",1,IF($B$5&lt;=F16,1,0)))</x:f>
        <x:v>0</x:v>
      </x:c>
      <x:c r="L16" s="80" t="n">
        <x:f>IF($B$6="",1,IF(AND($B$7=I16,$B$6&gt;=G16,$B$6&lt;=H16),1,0))</x:f>
        <x:v>1</x:v>
      </x:c>
      <x:c r="M16" s="80" t="n">
        <x:f>J16*40+K16*20+L16*40</x:f>
        <x:v>40</x:v>
      </x:c>
      <x:c r="N16" s="80" t="n">
        <x:f>IF($B$8="",0,SUMIFS(Material_Series_Map!$C$2:$C$300,Material_Series_Map!$A$2:$A$300,$B$8,Material_Series_Map!$B$2:$B$300,C16,Material_Series_Map!$G$2:$G$300,"Verified"))</x:f>
        <x:v>0</x:v>
      </x:c>
      <x:c r="O16" s="80" t="n">
        <x:f>MIN(100,MAX(0,M16+N16))</x:f>
        <x:v>40</x:v>
      </x:c>
      <x:c r="P16" s="82" t="str">
        <x:f>IF(OR(J16=0,K16=0,L16=0),"NO MATCH",IF(O16&gt;=80,"STRONG CANDIDATE","CANDIDATE"))</x:f>
        <x:v>NO MATCH</x:v>
      </x:c>
    </x:row>
    <x:row r="17">
      <x:c r="A17" s="79" t="str">
        <x:f>Models!A8</x:f>
        <x:v>BS_SMALL_HAMMER__AS-250</x:v>
      </x:c>
      <x:c r="B17" s="80" t="str">
        <x:f>Models!D8</x:f>
        <x:v>AS-250</x:v>
      </x:c>
      <x:c r="C17" s="80" t="str">
        <x:f>Models!C8</x:f>
        <x:v>BS_SMALL_HAMMER</x:v>
      </x:c>
      <x:c r="D17" s="80" t="n">
        <x:f>Models!G8</x:f>
        <x:v>10</x:v>
      </x:c>
      <x:c r="E17" s="80" t="n">
        <x:f>Models!H8</x:f>
        <x:v>100</x:v>
      </x:c>
      <x:c r="F17" s="80" t="n">
        <x:f>Models!I8</x:f>
        <x:v>10</x:v>
      </x:c>
      <x:c r="G17" s="80" t="n">
        <x:f>Models!K8</x:f>
        <x:v>10</x:v>
      </x:c>
      <x:c r="H17" s="80" t="n">
        <x:f>Models!L8</x:f>
        <x:v>120</x:v>
      </x:c>
      <x:c r="I17" s="80" t="str">
        <x:f>Models!M8</x:f>
        <x:v>mesh</x:v>
      </x:c>
      <x:c r="J17" s="80" t="n">
        <x:f>IF(AND($B$4&gt;=D17,$B$4&lt;=E17),1,0)</x:f>
        <x:v>0</x:v>
      </x:c>
      <x:c r="K17" s="80" t="n">
        <x:f>IF($B$5="",1,IF(F17="",1,IF($B$5&lt;=F17,1,0)))</x:f>
        <x:v>0</x:v>
      </x:c>
      <x:c r="L17" s="80" t="n">
        <x:f>IF($B$6="",1,IF(AND($B$7=I17,$B$6&gt;=G17,$B$6&lt;=H17),1,0))</x:f>
        <x:v>1</x:v>
      </x:c>
      <x:c r="M17" s="80" t="n">
        <x:f>J17*40+K17*20+L17*40</x:f>
        <x:v>40</x:v>
      </x:c>
      <x:c r="N17" s="80" t="n">
        <x:f>IF($B$8="",0,SUMIFS(Material_Series_Map!$C$2:$C$300,Material_Series_Map!$A$2:$A$300,$B$8,Material_Series_Map!$B$2:$B$300,C17,Material_Series_Map!$G$2:$G$300,"Verified"))</x:f>
        <x:v>0</x:v>
      </x:c>
      <x:c r="O17" s="80" t="n">
        <x:f>MIN(100,MAX(0,M17+N17))</x:f>
        <x:v>40</x:v>
      </x:c>
      <x:c r="P17" s="82" t="str">
        <x:f>IF(OR(J17=0,K17=0,L17=0),"NO MATCH",IF(O17&gt;=80,"STRONG CANDIDATE","CANDIDATE"))</x:f>
        <x:v>NO MATCH</x:v>
      </x:c>
    </x:row>
    <x:row r="18">
      <x:c r="A18" s="79" t="str">
        <x:f>Models!A9</x:f>
        <x:v>BS_SMALL_HAMMER__AS-350</x:v>
      </x:c>
      <x:c r="B18" s="80" t="str">
        <x:f>Models!D9</x:f>
        <x:v>AS-350</x:v>
      </x:c>
      <x:c r="C18" s="80" t="str">
        <x:f>Models!C9</x:f>
        <x:v>BS_SMALL_HAMMER</x:v>
      </x:c>
      <x:c r="D18" s="80" t="n">
        <x:f>Models!G9</x:f>
        <x:v>30</x:v>
      </x:c>
      <x:c r="E18" s="80" t="n">
        <x:f>Models!H9</x:f>
        <x:v>300</x:v>
      </x:c>
      <x:c r="F18" s="80" t="n">
        <x:f>Models!I9</x:f>
        <x:v>10</x:v>
      </x:c>
      <x:c r="G18" s="80" t="n">
        <x:f>Models!K9</x:f>
        <x:v>10</x:v>
      </x:c>
      <x:c r="H18" s="80" t="n">
        <x:f>Models!L9</x:f>
        <x:v>120</x:v>
      </x:c>
      <x:c r="I18" s="80" t="str">
        <x:f>Models!M9</x:f>
        <x:v>mesh</x:v>
      </x:c>
      <x:c r="J18" s="80" t="n">
        <x:f>IF(AND($B$4&gt;=D18,$B$4&lt;=E18),1,0)</x:f>
        <x:v>0</x:v>
      </x:c>
      <x:c r="K18" s="80" t="n">
        <x:f>IF($B$5="",1,IF(F18="",1,IF($B$5&lt;=F18,1,0)))</x:f>
        <x:v>0</x:v>
      </x:c>
      <x:c r="L18" s="80" t="n">
        <x:f>IF($B$6="",1,IF(AND($B$7=I18,$B$6&gt;=G18,$B$6&lt;=H18),1,0))</x:f>
        <x:v>1</x:v>
      </x:c>
      <x:c r="M18" s="80" t="n">
        <x:f>J18*40+K18*20+L18*40</x:f>
        <x:v>40</x:v>
      </x:c>
      <x:c r="N18" s="80" t="n">
        <x:f>IF($B$8="",0,SUMIFS(Material_Series_Map!$C$2:$C$300,Material_Series_Map!$A$2:$A$300,$B$8,Material_Series_Map!$B$2:$B$300,C18,Material_Series_Map!$G$2:$G$300,"Verified"))</x:f>
        <x:v>0</x:v>
      </x:c>
      <x:c r="O18" s="80" t="n">
        <x:f>MIN(100,MAX(0,M18+N18))</x:f>
        <x:v>40</x:v>
      </x:c>
      <x:c r="P18" s="82" t="str">
        <x:f>IF(OR(J18=0,K18=0,L18=0),"NO MATCH",IF(O18&gt;=80,"STRONG CANDIDATE","CANDIDATE"))</x:f>
        <x:v>NO MATCH</x:v>
      </x:c>
    </x:row>
    <x:row r="19">
      <x:c r="A19" s="79" t="str">
        <x:f>Models!A10</x:f>
        <x:v>BSU_UNIVERSAL__ASU-20</x:v>
      </x:c>
      <x:c r="B19" s="80" t="str">
        <x:f>Models!D10</x:f>
        <x:v>ASU-20</x:v>
      </x:c>
      <x:c r="C19" s="80" t="str">
        <x:f>Models!C10</x:f>
        <x:v>BSU_UNIVERSAL</x:v>
      </x:c>
      <x:c r="D19" s="80" t="n">
        <x:f>Models!G10</x:f>
        <x:v>20</x:v>
      </x:c>
      <x:c r="E19" s="80" t="n">
        <x:f>Models!H10</x:f>
        <x:v>150</x:v>
      </x:c>
      <x:c r="F19" s="80" t="n">
        <x:f>Models!I10</x:f>
        <x:v>6</x:v>
      </x:c>
      <x:c r="G19" s="80" t="n">
        <x:f>Models!K10</x:f>
        <x:v>20</x:v>
      </x:c>
      <x:c r="H19" s="80" t="n">
        <x:f>Models!L10</x:f>
        <x:v>120</x:v>
      </x:c>
      <x:c r="I19" s="80" t="str">
        <x:f>Models!M10</x:f>
        <x:v>mesh</x:v>
      </x:c>
      <x:c r="J19" s="80" t="n">
        <x:f>IF(AND($B$4&gt;=D19,$B$4&lt;=E19),1,0)</x:f>
        <x:v>0</x:v>
      </x:c>
      <x:c r="K19" s="80" t="n">
        <x:f>IF($B$5="",1,IF(F19="",1,IF($B$5&lt;=F19,1,0)))</x:f>
        <x:v>0</x:v>
      </x:c>
      <x:c r="L19" s="80" t="n">
        <x:f>IF($B$6="",1,IF(AND($B$7=I19,$B$6&gt;=G19,$B$6&lt;=H19),1,0))</x:f>
        <x:v>1</x:v>
      </x:c>
      <x:c r="M19" s="80" t="n">
        <x:f>J19*40+K19*20+L19*40</x:f>
        <x:v>40</x:v>
      </x:c>
      <x:c r="N19" s="80" t="n">
        <x:f>IF($B$8="",0,SUMIFS(Material_Series_Map!$C$2:$C$300,Material_Series_Map!$A$2:$A$300,$B$8,Material_Series_Map!$B$2:$B$300,C19,Material_Series_Map!$G$2:$G$300,"Verified"))</x:f>
        <x:v>0</x:v>
      </x:c>
      <x:c r="O19" s="80" t="n">
        <x:f>MIN(100,MAX(0,M19+N19))</x:f>
        <x:v>40</x:v>
      </x:c>
      <x:c r="P19" s="82" t="str">
        <x:f>IF(OR(J19=0,K19=0,L19=0),"NO MATCH",IF(O19&gt;=80,"STRONG CANDIDATE","CANDIDATE"))</x:f>
        <x:v>NO MATCH</x:v>
      </x:c>
    </x:row>
    <x:row r="20">
      <x:c r="A20" s="79" t="str">
        <x:f>Models!A11</x:f>
        <x:v>BSU_UNIVERSAL__ASU-30</x:v>
      </x:c>
      <x:c r="B20" s="80" t="str">
        <x:f>Models!D11</x:f>
        <x:v>ASU-30</x:v>
      </x:c>
      <x:c r="C20" s="80" t="str">
        <x:f>Models!C11</x:f>
        <x:v>BSU_UNIVERSAL</x:v>
      </x:c>
      <x:c r="D20" s="80" t="n">
        <x:f>Models!G11</x:f>
        <x:v>30</x:v>
      </x:c>
      <x:c r="E20" s="80" t="n">
        <x:f>Models!H11</x:f>
        <x:v>300</x:v>
      </x:c>
      <x:c r="F20" s="80" t="n">
        <x:f>Models!I11</x:f>
        <x:v>10</x:v>
      </x:c>
      <x:c r="G20" s="80" t="n">
        <x:f>Models!K11</x:f>
        <x:v>20</x:v>
      </x:c>
      <x:c r="H20" s="80" t="n">
        <x:f>Models!L11</x:f>
        <x:v>120</x:v>
      </x:c>
      <x:c r="I20" s="80" t="str">
        <x:f>Models!M11</x:f>
        <x:v>mesh</x:v>
      </x:c>
      <x:c r="J20" s="80" t="n">
        <x:f>IF(AND($B$4&gt;=D20,$B$4&lt;=E20),1,0)</x:f>
        <x:v>0</x:v>
      </x:c>
      <x:c r="K20" s="80" t="n">
        <x:f>IF($B$5="",1,IF(F20="",1,IF($B$5&lt;=F20,1,0)))</x:f>
        <x:v>0</x:v>
      </x:c>
      <x:c r="L20" s="80" t="n">
        <x:f>IF($B$6="",1,IF(AND($B$7=I20,$B$6&gt;=G20,$B$6&lt;=H20),1,0))</x:f>
        <x:v>1</x:v>
      </x:c>
      <x:c r="M20" s="80" t="n">
        <x:f>J20*40+K20*20+L20*40</x:f>
        <x:v>40</x:v>
      </x:c>
      <x:c r="N20" s="80" t="n">
        <x:f>IF($B$8="",0,SUMIFS(Material_Series_Map!$C$2:$C$300,Material_Series_Map!$A$2:$A$300,$B$8,Material_Series_Map!$B$2:$B$300,C20,Material_Series_Map!$G$2:$G$300,"Verified"))</x:f>
        <x:v>0</x:v>
      </x:c>
      <x:c r="O20" s="80" t="n">
        <x:f>MIN(100,MAX(0,M20+N20))</x:f>
        <x:v>40</x:v>
      </x:c>
      <x:c r="P20" s="82" t="str">
        <x:f>IF(OR(J20=0,K20=0,L20=0),"NO MATCH",IF(O20&gt;=80,"STRONG CANDIDATE","CANDIDATE"))</x:f>
        <x:v>NO MATCH</x:v>
      </x:c>
    </x:row>
    <x:row r="21">
      <x:c r="A21" s="79" t="str">
        <x:f>Models!A12</x:f>
        <x:v>BSU_UNIVERSAL__ASU-40</x:v>
      </x:c>
      <x:c r="B21" s="80" t="str">
        <x:f>Models!D12</x:f>
        <x:v>ASU-40</x:v>
      </x:c>
      <x:c r="C21" s="80" t="str">
        <x:f>Models!C12</x:f>
        <x:v>BSU_UNIVERSAL</x:v>
      </x:c>
      <x:c r="D21" s="80" t="n">
        <x:f>Models!G12</x:f>
        <x:v>50</x:v>
      </x:c>
      <x:c r="E21" s="80" t="n">
        <x:f>Models!H12</x:f>
        <x:v>400</x:v>
      </x:c>
      <x:c r="F21" s="80" t="n">
        <x:f>Models!I12</x:f>
        <x:v>10</x:v>
      </x:c>
      <x:c r="G21" s="80" t="n">
        <x:f>Models!K12</x:f>
        <x:v>20</x:v>
      </x:c>
      <x:c r="H21" s="80" t="n">
        <x:f>Models!L12</x:f>
        <x:v>120</x:v>
      </x:c>
      <x:c r="I21" s="80" t="str">
        <x:f>Models!M12</x:f>
        <x:v>mesh</x:v>
      </x:c>
      <x:c r="J21" s="80" t="n">
        <x:f>IF(AND($B$4&gt;=D21,$B$4&lt;=E21),1,0)</x:f>
        <x:v>0</x:v>
      </x:c>
      <x:c r="K21" s="80" t="n">
        <x:f>IF($B$5="",1,IF(F21="",1,IF($B$5&lt;=F21,1,0)))</x:f>
        <x:v>0</x:v>
      </x:c>
      <x:c r="L21" s="80" t="n">
        <x:f>IF($B$6="",1,IF(AND($B$7=I21,$B$6&gt;=G21,$B$6&lt;=H21),1,0))</x:f>
        <x:v>1</x:v>
      </x:c>
      <x:c r="M21" s="80" t="n">
        <x:f>J21*40+K21*20+L21*40</x:f>
        <x:v>40</x:v>
      </x:c>
      <x:c r="N21" s="80" t="n">
        <x:f>IF($B$8="",0,SUMIFS(Material_Series_Map!$C$2:$C$300,Material_Series_Map!$A$2:$A$300,$B$8,Material_Series_Map!$B$2:$B$300,C21,Material_Series_Map!$G$2:$G$300,"Verified"))</x:f>
        <x:v>0</x:v>
      </x:c>
      <x:c r="O21" s="80" t="n">
        <x:f>MIN(100,MAX(0,M21+N21))</x:f>
        <x:v>40</x:v>
      </x:c>
      <x:c r="P21" s="82" t="str">
        <x:f>IF(OR(J21=0,K21=0,L21=0),"NO MATCH",IF(O21&gt;=80,"STRONG CANDIDATE","CANDIDATE"))</x:f>
        <x:v>NO MATCH</x:v>
      </x:c>
    </x:row>
    <x:row r="22">
      <x:c r="A22" s="79" t="str">
        <x:f>Models!A13</x:f>
        <x:v>BSU_UNIVERSAL__ASU-50</x:v>
      </x:c>
      <x:c r="B22" s="80" t="str">
        <x:f>Models!D13</x:f>
        <x:v>ASU-50</x:v>
      </x:c>
      <x:c r="C22" s="80" t="str">
        <x:f>Models!C13</x:f>
        <x:v>BSU_UNIVERSAL</x:v>
      </x:c>
      <x:c r="D22" s="80" t="n">
        <x:f>Models!G13</x:f>
        <x:v>100</x:v>
      </x:c>
      <x:c r="E22" s="80" t="n">
        <x:f>Models!H13</x:f>
        <x:v>800</x:v>
      </x:c>
      <x:c r="F22" s="80" t="n">
        <x:f>Models!I13</x:f>
        <x:v>10</x:v>
      </x:c>
      <x:c r="G22" s="80" t="n">
        <x:f>Models!K13</x:f>
        <x:v>20</x:v>
      </x:c>
      <x:c r="H22" s="80" t="n">
        <x:f>Models!L13</x:f>
        <x:v>120</x:v>
      </x:c>
      <x:c r="I22" s="80" t="str">
        <x:f>Models!M13</x:f>
        <x:v>mesh</x:v>
      </x:c>
      <x:c r="J22" s="80" t="n">
        <x:f>IF(AND($B$4&gt;=D22,$B$4&lt;=E22),1,0)</x:f>
        <x:v>0</x:v>
      </x:c>
      <x:c r="K22" s="80" t="n">
        <x:f>IF($B$5="",1,IF(F22="",1,IF($B$5&lt;=F22,1,0)))</x:f>
        <x:v>0</x:v>
      </x:c>
      <x:c r="L22" s="80" t="n">
        <x:f>IF($B$6="",1,IF(AND($B$7=I22,$B$6&gt;=G22,$B$6&lt;=H22),1,0))</x:f>
        <x:v>1</x:v>
      </x:c>
      <x:c r="M22" s="80" t="n">
        <x:f>J22*40+K22*20+L22*40</x:f>
        <x:v>40</x:v>
      </x:c>
      <x:c r="N22" s="80" t="n">
        <x:f>IF($B$8="",0,SUMIFS(Material_Series_Map!$C$2:$C$300,Material_Series_Map!$A$2:$A$300,$B$8,Material_Series_Map!$B$2:$B$300,C22,Material_Series_Map!$G$2:$G$300,"Verified"))</x:f>
        <x:v>0</x:v>
      </x:c>
      <x:c r="O22" s="80" t="n">
        <x:f>MIN(100,MAX(0,M22+N22))</x:f>
        <x:v>40</x:v>
      </x:c>
      <x:c r="P22" s="82" t="str">
        <x:f>IF(OR(J22=0,K22=0,L22=0),"NO MATCH",IF(O22&gt;=80,"STRONG CANDIDATE","CANDIDATE"))</x:f>
        <x:v>NO MATCH</x:v>
      </x:c>
    </x:row>
    <x:row r="23">
      <x:c r="A23" s="79" t="str">
        <x:f>Models!A14</x:f>
        <x:v>BSG_UNIVERSAL_SYSTEM__ASG-300</x:v>
      </x:c>
      <x:c r="B23" s="80" t="str">
        <x:f>Models!D14</x:f>
        <x:v>ASG-300</x:v>
      </x:c>
      <x:c r="C23" s="80" t="str">
        <x:f>Models!C14</x:f>
        <x:v>BSG_UNIVERSAL_SYSTEM</x:v>
      </x:c>
      <x:c r="D23" s="80" t="n">
        <x:f>Models!G14</x:f>
        <x:v>50</x:v>
      </x:c>
      <x:c r="E23" s="80" t="n">
        <x:f>Models!H14</x:f>
        <x:v>400</x:v>
      </x:c>
      <x:c r="F23" s="80" t="n">
        <x:f>Models!I14</x:f>
        <x:v>0</x:v>
      </x:c>
      <x:c r="G23" s="80" t="n">
        <x:f>Models!K14</x:f>
        <x:v>10</x:v>
      </x:c>
      <x:c r="H23" s="80" t="n">
        <x:f>Models!L14</x:f>
        <x:v>120</x:v>
      </x:c>
      <x:c r="I23" s="80" t="str">
        <x:f>Models!M14</x:f>
        <x:v>mesh</x:v>
      </x:c>
      <x:c r="J23" s="80" t="n">
        <x:f>IF(AND($B$4&gt;=D23,$B$4&lt;=E23),1,0)</x:f>
        <x:v>0</x:v>
      </x:c>
      <x:c r="K23" s="80" t="n">
        <x:f>IF($B$5="",1,IF(F23="",1,IF($B$5&lt;=F23,1,0)))</x:f>
        <x:v>1</x:v>
      </x:c>
      <x:c r="L23" s="80" t="n">
        <x:f>IF($B$6="",1,IF(AND($B$7=I23,$B$6&gt;=G23,$B$6&lt;=H23),1,0))</x:f>
        <x:v>1</x:v>
      </x:c>
      <x:c r="M23" s="80" t="n">
        <x:f>J23*40+K23*20+L23*40</x:f>
        <x:v>60</x:v>
      </x:c>
      <x:c r="N23" s="80" t="n">
        <x:f>IF($B$8="",0,SUMIFS(Material_Series_Map!$C$2:$C$300,Material_Series_Map!$A$2:$A$300,$B$8,Material_Series_Map!$B$2:$B$300,C23,Material_Series_Map!$G$2:$G$300,"Verified"))</x:f>
        <x:v>0</x:v>
      </x:c>
      <x:c r="O23" s="80" t="n">
        <x:f>MIN(100,MAX(0,M23+N23))</x:f>
        <x:v>60</x:v>
      </x:c>
      <x:c r="P23" s="82" t="str">
        <x:f>IF(OR(J23=0,K23=0,L23=0),"NO MATCH",IF(O23&gt;=80,"STRONG CANDIDATE","CANDIDATE"))</x:f>
        <x:v>NO MATCH</x:v>
      </x:c>
    </x:row>
    <x:row r="24">
      <x:c r="A24" s="79" t="str">
        <x:f>Models!A15</x:f>
        <x:v>BSG_UNIVERSAL_SYSTEM__ASG-400</x:v>
      </x:c>
      <x:c r="B24" s="80" t="str">
        <x:f>Models!D15</x:f>
        <x:v>ASG-400</x:v>
      </x:c>
      <x:c r="C24" s="80" t="str">
        <x:f>Models!C15</x:f>
        <x:v>BSG_UNIVERSAL_SYSTEM</x:v>
      </x:c>
      <x:c r="D24" s="80" t="n">
        <x:f>Models!G15</x:f>
        <x:v>100</x:v>
      </x:c>
      <x:c r="E24" s="80" t="n">
        <x:f>Models!H15</x:f>
        <x:v>800</x:v>
      </x:c>
      <x:c r="F24" s="80" t="n">
        <x:f>Models!I15</x:f>
        <x:v>0</x:v>
      </x:c>
      <x:c r="G24" s="80" t="n">
        <x:f>Models!K15</x:f>
        <x:v>10</x:v>
      </x:c>
      <x:c r="H24" s="80" t="n">
        <x:f>Models!L15</x:f>
        <x:v>120</x:v>
      </x:c>
      <x:c r="I24" s="80" t="str">
        <x:f>Models!M15</x:f>
        <x:v>mesh</x:v>
      </x:c>
      <x:c r="J24" s="80" t="n">
        <x:f>IF(AND($B$4&gt;=D24,$B$4&lt;=E24),1,0)</x:f>
        <x:v>0</x:v>
      </x:c>
      <x:c r="K24" s="80" t="n">
        <x:f>IF($B$5="",1,IF(F24="",1,IF($B$5&lt;=F24,1,0)))</x:f>
        <x:v>1</x:v>
      </x:c>
      <x:c r="L24" s="80" t="n">
        <x:f>IF($B$6="",1,IF(AND($B$7=I24,$B$6&gt;=G24,$B$6&lt;=H24),1,0))</x:f>
        <x:v>1</x:v>
      </x:c>
      <x:c r="M24" s="80" t="n">
        <x:f>J24*40+K24*20+L24*40</x:f>
        <x:v>60</x:v>
      </x:c>
      <x:c r="N24" s="80" t="n">
        <x:f>IF($B$8="",0,SUMIFS(Material_Series_Map!$C$2:$C$300,Material_Series_Map!$A$2:$A$300,$B$8,Material_Series_Map!$B$2:$B$300,C24,Material_Series_Map!$G$2:$G$300,"Verified"))</x:f>
        <x:v>0</x:v>
      </x:c>
      <x:c r="O24" s="80" t="n">
        <x:f>MIN(100,MAX(0,M24+N24))</x:f>
        <x:v>60</x:v>
      </x:c>
      <x:c r="P24" s="82" t="str">
        <x:f>IF(OR(J24=0,K24=0,L24=0),"NO MATCH",IF(O24&gt;=80,"STRONG CANDIDATE","CANDIDATE"))</x:f>
        <x:v>NO MATCH</x:v>
      </x:c>
    </x:row>
    <x:row r="25">
      <x:c r="A25" s="79" t="str">
        <x:f>Models!A16</x:f>
        <x:v>BSG_UNIVERSAL_SYSTEM__ASG-500</x:v>
      </x:c>
      <x:c r="B25" s="80" t="str">
        <x:f>Models!D16</x:f>
        <x:v>ASG-500</x:v>
      </x:c>
      <x:c r="C25" s="80" t="str">
        <x:f>Models!C16</x:f>
        <x:v>BSG_UNIVERSAL_SYSTEM</x:v>
      </x:c>
      <x:c r="D25" s="80" t="n">
        <x:f>Models!G16</x:f>
        <x:v>200</x:v>
      </x:c>
      <x:c r="E25" s="80" t="n">
        <x:f>Models!H16</x:f>
        <x:v>1000</x:v>
      </x:c>
      <x:c r="F25" s="80" t="n">
        <x:f>Models!I16</x:f>
        <x:v>0</x:v>
      </x:c>
      <x:c r="G25" s="80" t="n">
        <x:f>Models!K16</x:f>
        <x:v>10</x:v>
      </x:c>
      <x:c r="H25" s="80" t="n">
        <x:f>Models!L16</x:f>
        <x:v>120</x:v>
      </x:c>
      <x:c r="I25" s="80" t="str">
        <x:f>Models!M16</x:f>
        <x:v>mesh</x:v>
      </x:c>
      <x:c r="J25" s="80" t="n">
        <x:f>IF(AND($B$4&gt;=D25,$B$4&lt;=E25),1,0)</x:f>
        <x:v>1</x:v>
      </x:c>
      <x:c r="K25" s="80" t="n">
        <x:f>IF($B$5="",1,IF(F25="",1,IF($B$5&lt;=F25,1,0)))</x:f>
        <x:v>1</x:v>
      </x:c>
      <x:c r="L25" s="80" t="n">
        <x:f>IF($B$6="",1,IF(AND($B$7=I25,$B$6&gt;=G25,$B$6&lt;=H25),1,0))</x:f>
        <x:v>1</x:v>
      </x:c>
      <x:c r="M25" s="80" t="n">
        <x:f>J25*40+K25*20+L25*40</x:f>
        <x:v>100</x:v>
      </x:c>
      <x:c r="N25" s="80" t="n">
        <x:f>IF($B$8="",0,SUMIFS(Material_Series_Map!$C$2:$C$300,Material_Series_Map!$A$2:$A$300,$B$8,Material_Series_Map!$B$2:$B$300,C25,Material_Series_Map!$G$2:$G$300,"Verified"))</x:f>
        <x:v>0</x:v>
      </x:c>
      <x:c r="O25" s="80" t="n">
        <x:f>MIN(100,MAX(0,M25+N25))</x:f>
        <x:v>100</x:v>
      </x:c>
      <x:c r="P25" s="82" t="str">
        <x:f>IF(OR(J25=0,K25=0,L25=0),"NO MATCH",IF(O25&gt;=80,"STRONG CANDIDATE","CANDIDATE"))</x:f>
        <x:v>STRONG CANDIDATE</x:v>
      </x:c>
    </x:row>
    <x:row r="26">
      <x:c r="A26" s="79" t="str">
        <x:f>Models!A17</x:f>
        <x:v>BSG_UNIVERSAL_SYSTEM__ASG-600</x:v>
      </x:c>
      <x:c r="B26" s="80" t="str">
        <x:f>Models!D17</x:f>
        <x:v>ASG-600</x:v>
      </x:c>
      <x:c r="C26" s="80" t="str">
        <x:f>Models!C17</x:f>
        <x:v>BSG_UNIVERSAL_SYSTEM</x:v>
      </x:c>
      <x:c r="D26" s="80" t="n">
        <x:f>Models!G17</x:f>
        <x:v>300</x:v>
      </x:c>
      <x:c r="E26" s="80" t="n">
        <x:f>Models!H17</x:f>
        <x:v>1500</x:v>
      </x:c>
      <x:c r="F26" s="80" t="n">
        <x:f>Models!I17</x:f>
        <x:v>0</x:v>
      </x:c>
      <x:c r="G26" s="80" t="n">
        <x:f>Models!K17</x:f>
        <x:v>10</x:v>
      </x:c>
      <x:c r="H26" s="80" t="n">
        <x:f>Models!L17</x:f>
        <x:v>120</x:v>
      </x:c>
      <x:c r="I26" s="80" t="str">
        <x:f>Models!M17</x:f>
        <x:v>mesh</x:v>
      </x:c>
      <x:c r="J26" s="80" t="n">
        <x:f>IF(AND($B$4&gt;=D26,$B$4&lt;=E26),1,0)</x:f>
        <x:v>1</x:v>
      </x:c>
      <x:c r="K26" s="80" t="n">
        <x:f>IF($B$5="",1,IF(F26="",1,IF($B$5&lt;=F26,1,0)))</x:f>
        <x:v>1</x:v>
      </x:c>
      <x:c r="L26" s="80" t="n">
        <x:f>IF($B$6="",1,IF(AND($B$7=I26,$B$6&gt;=G26,$B$6&lt;=H26),1,0))</x:f>
        <x:v>1</x:v>
      </x:c>
      <x:c r="M26" s="80" t="n">
        <x:f>J26*40+K26*20+L26*40</x:f>
        <x:v>100</x:v>
      </x:c>
      <x:c r="N26" s="80" t="n">
        <x:f>IF($B$8="",0,SUMIFS(Material_Series_Map!$C$2:$C$300,Material_Series_Map!$A$2:$A$300,$B$8,Material_Series_Map!$B$2:$B$300,C26,Material_Series_Map!$G$2:$G$300,"Verified"))</x:f>
        <x:v>0</x:v>
      </x:c>
      <x:c r="O26" s="80" t="n">
        <x:f>MIN(100,MAX(0,M26+N26))</x:f>
        <x:v>100</x:v>
      </x:c>
      <x:c r="P26" s="82" t="str">
        <x:f>IF(OR(J26=0,K26=0,L26=0),"NO MATCH",IF(O26&gt;=80,"STRONG CANDIDATE","CANDIDATE"))</x:f>
        <x:v>STRONG CANDIDATE</x:v>
      </x:c>
    </x:row>
    <x:row r="27">
      <x:c r="A27" s="79" t="str">
        <x:f>Models!A18</x:f>
        <x:v>BSG_UNIVERSAL_SYSTEM__ASG-850</x:v>
      </x:c>
      <x:c r="B27" s="80" t="str">
        <x:f>Models!D18</x:f>
        <x:v>ASG-850</x:v>
      </x:c>
      <x:c r="C27" s="80" t="str">
        <x:f>Models!C18</x:f>
        <x:v>BSG_UNIVERSAL_SYSTEM</x:v>
      </x:c>
      <x:c r="D27" s="80" t="n">
        <x:f>Models!G18</x:f>
        <x:v>450</x:v>
      </x:c>
      <x:c r="E27" s="80" t="n">
        <x:f>Models!H18</x:f>
        <x:v>2000</x:v>
      </x:c>
      <x:c r="F27" s="80" t="n">
        <x:f>Models!I18</x:f>
        <x:v>0</x:v>
      </x:c>
      <x:c r="G27" s="80" t="n">
        <x:f>Models!K18</x:f>
        <x:v>10</x:v>
      </x:c>
      <x:c r="H27" s="80" t="n">
        <x:f>Models!L18</x:f>
        <x:v>120</x:v>
      </x:c>
      <x:c r="I27" s="80" t="str">
        <x:f>Models!M18</x:f>
        <x:v>mesh</x:v>
      </x:c>
      <x:c r="J27" s="80" t="n">
        <x:f>IF(AND($B$4&gt;=D27,$B$4&lt;=E27),1,0)</x:f>
        <x:v>1</x:v>
      </x:c>
      <x:c r="K27" s="80" t="n">
        <x:f>IF($B$5="",1,IF(F27="",1,IF($B$5&lt;=F27,1,0)))</x:f>
        <x:v>1</x:v>
      </x:c>
      <x:c r="L27" s="80" t="n">
        <x:f>IF($B$6="",1,IF(AND($B$7=I27,$B$6&gt;=G27,$B$6&lt;=H27),1,0))</x:f>
        <x:v>1</x:v>
      </x:c>
      <x:c r="M27" s="80" t="n">
        <x:f>J27*40+K27*20+L27*40</x:f>
        <x:v>100</x:v>
      </x:c>
      <x:c r="N27" s="80" t="n">
        <x:f>IF($B$8="",0,SUMIFS(Material_Series_Map!$C$2:$C$300,Material_Series_Map!$A$2:$A$300,$B$8,Material_Series_Map!$B$2:$B$300,C27,Material_Series_Map!$G$2:$G$300,"Verified"))</x:f>
        <x:v>0</x:v>
      </x:c>
      <x:c r="O27" s="80" t="n">
        <x:f>MIN(100,MAX(0,M27+N27))</x:f>
        <x:v>100</x:v>
      </x:c>
      <x:c r="P27" s="82" t="str">
        <x:f>IF(OR(J27=0,K27=0,L27=0),"NO MATCH",IF(O27&gt;=80,"STRONG CANDIDATE","CANDIDATE"))</x:f>
        <x:v>STRONG CANDIDATE</x:v>
      </x:c>
    </x:row>
    <x:row r="28">
      <x:c r="A28" s="79" t="str">
        <x:f>Models!A19</x:f>
        <x:v>BSG_UNIVERSAL_SYSTEM__ASG-1000</x:v>
      </x:c>
      <x:c r="B28" s="80" t="str">
        <x:f>Models!D19</x:f>
        <x:v>ASG-1000</x:v>
      </x:c>
      <x:c r="C28" s="80" t="str">
        <x:f>Models!C19</x:f>
        <x:v>BSG_UNIVERSAL_SYSTEM</x:v>
      </x:c>
      <x:c r="D28" s="80" t="n">
        <x:f>Models!G19</x:f>
        <x:v>600</x:v>
      </x:c>
      <x:c r="E28" s="80" t="n">
        <x:f>Models!H19</x:f>
        <x:v>3000</x:v>
      </x:c>
      <x:c r="F28" s="80" t="n">
        <x:f>Models!I19</x:f>
        <x:v>0</x:v>
      </x:c>
      <x:c r="G28" s="80" t="n">
        <x:f>Models!K19</x:f>
        <x:v>10</x:v>
      </x:c>
      <x:c r="H28" s="80" t="n">
        <x:f>Models!L19</x:f>
        <x:v>120</x:v>
      </x:c>
      <x:c r="I28" s="80" t="str">
        <x:f>Models!M19</x:f>
        <x:v>mesh</x:v>
      </x:c>
      <x:c r="J28" s="80" t="n">
        <x:f>IF(AND($B$4&gt;=D28,$B$4&lt;=E28),1,0)</x:f>
        <x:v>1</x:v>
      </x:c>
      <x:c r="K28" s="80" t="n">
        <x:f>IF($B$5="",1,IF(F28="",1,IF($B$5&lt;=F28,1,0)))</x:f>
        <x:v>1</x:v>
      </x:c>
      <x:c r="L28" s="80" t="n">
        <x:f>IF($B$6="",1,IF(AND($B$7=I28,$B$6&gt;=G28,$B$6&lt;=H28),1,0))</x:f>
        <x:v>1</x:v>
      </x:c>
      <x:c r="M28" s="80" t="n">
        <x:f>J28*40+K28*20+L28*40</x:f>
        <x:v>100</x:v>
      </x:c>
      <x:c r="N28" s="80" t="n">
        <x:f>IF($B$8="",0,SUMIFS(Material_Series_Map!$C$2:$C$300,Material_Series_Map!$A$2:$A$300,$B$8,Material_Series_Map!$B$2:$B$300,C28,Material_Series_Map!$G$2:$G$300,"Verified"))</x:f>
        <x:v>0</x:v>
      </x:c>
      <x:c r="O28" s="80" t="n">
        <x:f>MIN(100,MAX(0,M28+N28))</x:f>
        <x:v>100</x:v>
      </x:c>
      <x:c r="P28" s="82" t="str">
        <x:f>IF(OR(J28=0,K28=0,L28=0),"NO MATCH",IF(O28&gt;=80,"STRONG CANDIDATE","CANDIDATE"))</x:f>
        <x:v>STRONG CANDIDATE</x:v>
      </x:c>
    </x:row>
    <x:row r="29">
      <x:c r="A29" s="79" t="str">
        <x:f>Models!A20</x:f>
        <x:v>BSP_ULTRAFINE__ASP-250</x:v>
      </x:c>
      <x:c r="B29" s="80" t="str">
        <x:f>Models!D20</x:f>
        <x:v>ASP-250</x:v>
      </x:c>
      <x:c r="C29" s="80" t="str">
        <x:f>Models!C20</x:f>
        <x:v>BSP_ULTRAFINE</x:v>
      </x:c>
      <x:c r="D29" s="80" t="n">
        <x:f>Models!G20</x:f>
        <x:v>10</x:v>
      </x:c>
      <x:c r="E29" s="80" t="n">
        <x:f>Models!H20</x:f>
        <x:v>100</x:v>
      </x:c>
      <x:c r="F29" s="80" t="n">
        <x:f>Models!I20</x:f>
        <x:v>8</x:v>
      </x:c>
      <x:c r="G29" s="80" t="n">
        <x:f>Models!K20</x:f>
        <x:v>60</x:v>
      </x:c>
      <x:c r="H29" s="80" t="n">
        <x:f>Models!L20</x:f>
        <x:v>2500</x:v>
      </x:c>
      <x:c r="I29" s="80" t="str">
        <x:f>Models!M20</x:f>
        <x:v>mesh</x:v>
      </x:c>
      <x:c r="J29" s="80" t="n">
        <x:f>IF(AND($B$4&gt;=D29,$B$4&lt;=E29),1,0)</x:f>
        <x:v>0</x:v>
      </x:c>
      <x:c r="K29" s="80" t="n">
        <x:f>IF($B$5="",1,IF(F29="",1,IF($B$5&lt;=F29,1,0)))</x:f>
        <x:v>0</x:v>
      </x:c>
      <x:c r="L29" s="80" t="n">
        <x:f>IF($B$6="",1,IF(AND($B$7=I29,$B$6&gt;=G29,$B$6&lt;=H29),1,0))</x:f>
        <x:v>0</x:v>
      </x:c>
      <x:c r="M29" s="80" t="n">
        <x:f>J29*40+K29*20+L29*40</x:f>
        <x:v>0</x:v>
      </x:c>
      <x:c r="N29" s="80" t="n">
        <x:f>IF($B$8="",0,SUMIFS(Material_Series_Map!$C$2:$C$300,Material_Series_Map!$A$2:$A$300,$B$8,Material_Series_Map!$B$2:$B$300,C29,Material_Series_Map!$G$2:$G$300,"Verified"))</x:f>
        <x:v>0</x:v>
      </x:c>
      <x:c r="O29" s="80" t="n">
        <x:f>MIN(100,MAX(0,M29+N29))</x:f>
        <x:v>0</x:v>
      </x:c>
      <x:c r="P29" s="82" t="str">
        <x:f>IF(OR(J29=0,K29=0,L29=0),"NO MATCH",IF(O29&gt;=80,"STRONG CANDIDATE","CANDIDATE"))</x:f>
        <x:v>NO MATCH</x:v>
      </x:c>
    </x:row>
    <x:row r="30">
      <x:c r="A30" s="79" t="str">
        <x:f>Models!A21</x:f>
        <x:v>BSP_ULTRAFINE__ASP-350</x:v>
      </x:c>
      <x:c r="B30" s="80" t="str">
        <x:f>Models!D21</x:f>
        <x:v>ASP-350</x:v>
      </x:c>
      <x:c r="C30" s="80" t="str">
        <x:f>Models!C21</x:f>
        <x:v>BSP_ULTRAFINE</x:v>
      </x:c>
      <x:c r="D30" s="80" t="n">
        <x:f>Models!G21</x:f>
        <x:v>20</x:v>
      </x:c>
      <x:c r="E30" s="80" t="n">
        <x:f>Models!H21</x:f>
        <x:v>200</x:v>
      </x:c>
      <x:c r="F30" s="80" t="n">
        <x:f>Models!I21</x:f>
        <x:v>15</x:v>
      </x:c>
      <x:c r="G30" s="80" t="n">
        <x:f>Models!K21</x:f>
        <x:v>60</x:v>
      </x:c>
      <x:c r="H30" s="80" t="n">
        <x:f>Models!L21</x:f>
        <x:v>2500</x:v>
      </x:c>
      <x:c r="I30" s="80" t="str">
        <x:f>Models!M21</x:f>
        <x:v>mesh</x:v>
      </x:c>
      <x:c r="J30" s="80" t="n">
        <x:f>IF(AND($B$4&gt;=D30,$B$4&lt;=E30),1,0)</x:f>
        <x:v>0</x:v>
      </x:c>
      <x:c r="K30" s="80" t="n">
        <x:f>IF($B$5="",1,IF(F30="",1,IF($B$5&lt;=F30,1,0)))</x:f>
        <x:v>1</x:v>
      </x:c>
      <x:c r="L30" s="80" t="n">
        <x:f>IF($B$6="",1,IF(AND($B$7=I30,$B$6&gt;=G30,$B$6&lt;=H30),1,0))</x:f>
        <x:v>0</x:v>
      </x:c>
      <x:c r="M30" s="80" t="n">
        <x:f>J30*40+K30*20+L30*40</x:f>
        <x:v>20</x:v>
      </x:c>
      <x:c r="N30" s="80" t="n">
        <x:f>IF($B$8="",0,SUMIFS(Material_Series_Map!$C$2:$C$300,Material_Series_Map!$A$2:$A$300,$B$8,Material_Series_Map!$B$2:$B$300,C30,Material_Series_Map!$G$2:$G$300,"Verified"))</x:f>
        <x:v>0</x:v>
      </x:c>
      <x:c r="O30" s="80" t="n">
        <x:f>MIN(100,MAX(0,M30+N30))</x:f>
        <x:v>20</x:v>
      </x:c>
      <x:c r="P30" s="82" t="str">
        <x:f>IF(OR(J30=0,K30=0,L30=0),"NO MATCH",IF(O30&gt;=80,"STRONG CANDIDATE","CANDIDATE"))</x:f>
        <x:v>NO MATCH</x:v>
      </x:c>
    </x:row>
    <x:row r="31">
      <x:c r="A31" s="79" t="str">
        <x:f>Models!A22</x:f>
        <x:v>BSP_ULTRAFINE__ASP-450</x:v>
      </x:c>
      <x:c r="B31" s="80" t="str">
        <x:f>Models!D22</x:f>
        <x:v>ASP-450</x:v>
      </x:c>
      <x:c r="C31" s="80" t="str">
        <x:f>Models!C22</x:f>
        <x:v>BSP_ULTRAFINE</x:v>
      </x:c>
      <x:c r="D31" s="80" t="n">
        <x:f>Models!G22</x:f>
        <x:v>40</x:v>
      </x:c>
      <x:c r="E31" s="80" t="n">
        <x:f>Models!H22</x:f>
        <x:v>500</x:v>
      </x:c>
      <x:c r="F31" s="80" t="n">
        <x:f>Models!I22</x:f>
        <x:v>15</x:v>
      </x:c>
      <x:c r="G31" s="80" t="n">
        <x:f>Models!K22</x:f>
        <x:v>60</x:v>
      </x:c>
      <x:c r="H31" s="80" t="n">
        <x:f>Models!L22</x:f>
        <x:v>2500</x:v>
      </x:c>
      <x:c r="I31" s="80" t="str">
        <x:f>Models!M22</x:f>
        <x:v>mesh</x:v>
      </x:c>
      <x:c r="J31" s="80" t="n">
        <x:f>IF(AND($B$4&gt;=D31,$B$4&lt;=E31),1,0)</x:f>
        <x:v>0</x:v>
      </x:c>
      <x:c r="K31" s="80" t="n">
        <x:f>IF($B$5="",1,IF(F31="",1,IF($B$5&lt;=F31,1,0)))</x:f>
        <x:v>1</x:v>
      </x:c>
      <x:c r="L31" s="80" t="n">
        <x:f>IF($B$6="",1,IF(AND($B$7=I31,$B$6&gt;=G31,$B$6&lt;=H31),1,0))</x:f>
        <x:v>0</x:v>
      </x:c>
      <x:c r="M31" s="80" t="n">
        <x:f>J31*40+K31*20+L31*40</x:f>
        <x:v>20</x:v>
      </x:c>
      <x:c r="N31" s="80" t="n">
        <x:f>IF($B$8="",0,SUMIFS(Material_Series_Map!$C$2:$C$300,Material_Series_Map!$A$2:$A$300,$B$8,Material_Series_Map!$B$2:$B$300,C31,Material_Series_Map!$G$2:$G$300,"Verified"))</x:f>
        <x:v>0</x:v>
      </x:c>
      <x:c r="O31" s="80" t="n">
        <x:f>MIN(100,MAX(0,M31+N31))</x:f>
        <x:v>20</x:v>
      </x:c>
      <x:c r="P31" s="82" t="str">
        <x:f>IF(OR(J31=0,K31=0,L31=0),"NO MATCH",IF(O31&gt;=80,"STRONG CANDIDATE","CANDIDATE"))</x:f>
        <x:v>NO MATCH</x:v>
      </x:c>
    </x:row>
    <x:row r="32">
      <x:c r="A32" s="79" t="str">
        <x:f>Models!A23</x:f>
        <x:v>BSP_ULTRAFINE__ASP-500</x:v>
      </x:c>
      <x:c r="B32" s="80" t="str">
        <x:f>Models!D23</x:f>
        <x:v>ASP-500</x:v>
      </x:c>
      <x:c r="C32" s="80" t="str">
        <x:f>Models!C23</x:f>
        <x:v>BSP_ULTRAFINE</x:v>
      </x:c>
      <x:c r="D32" s="80" t="n">
        <x:f>Models!G23</x:f>
        <x:v>50</x:v>
      </x:c>
      <x:c r="E32" s="80" t="n">
        <x:f>Models!H23</x:f>
        <x:v>800</x:v>
      </x:c>
      <x:c r="F32" s="80" t="n">
        <x:f>Models!I23</x:f>
        <x:v>15</x:v>
      </x:c>
      <x:c r="G32" s="80" t="n">
        <x:f>Models!K23</x:f>
        <x:v>60</x:v>
      </x:c>
      <x:c r="H32" s="80" t="n">
        <x:f>Models!L23</x:f>
        <x:v>2500</x:v>
      </x:c>
      <x:c r="I32" s="80" t="str">
        <x:f>Models!M23</x:f>
        <x:v>mesh</x:v>
      </x:c>
      <x:c r="J32" s="80" t="n">
        <x:f>IF(AND($B$4&gt;=D32,$B$4&lt;=E32),1,0)</x:f>
        <x:v>0</x:v>
      </x:c>
      <x:c r="K32" s="80" t="n">
        <x:f>IF($B$5="",1,IF(F32="",1,IF($B$5&lt;=F32,1,0)))</x:f>
        <x:v>1</x:v>
      </x:c>
      <x:c r="L32" s="80" t="n">
        <x:f>IF($B$6="",1,IF(AND($B$7=I32,$B$6&gt;=G32,$B$6&lt;=H32),1,0))</x:f>
        <x:v>0</x:v>
      </x:c>
      <x:c r="M32" s="80" t="n">
        <x:f>J32*40+K32*20+L32*40</x:f>
        <x:v>20</x:v>
      </x:c>
      <x:c r="N32" s="80" t="n">
        <x:f>IF($B$8="",0,SUMIFS(Material_Series_Map!$C$2:$C$300,Material_Series_Map!$A$2:$A$300,$B$8,Material_Series_Map!$B$2:$B$300,C32,Material_Series_Map!$G$2:$G$300,"Verified"))</x:f>
        <x:v>0</x:v>
      </x:c>
      <x:c r="O32" s="80" t="n">
        <x:f>MIN(100,MAX(0,M32+N32))</x:f>
        <x:v>20</x:v>
      </x:c>
      <x:c r="P32" s="82" t="str">
        <x:f>IF(OR(J32=0,K32=0,L32=0),"NO MATCH",IF(O32&gt;=80,"STRONG CANDIDATE","CANDIDATE"))</x:f>
        <x:v>NO MATCH</x:v>
      </x:c>
    </x:row>
    <x:row r="33">
      <x:c r="A33" s="79" t="str">
        <x:f>Models!A24</x:f>
        <x:v>BSP_ULTRAFINE__ASP-750</x:v>
      </x:c>
      <x:c r="B33" s="80" t="str">
        <x:f>Models!D24</x:f>
        <x:v>ASP-750</x:v>
      </x:c>
      <x:c r="C33" s="80" t="str">
        <x:f>Models!C24</x:f>
        <x:v>BSP_ULTRAFINE</x:v>
      </x:c>
      <x:c r="D33" s="80" t="n">
        <x:f>Models!G24</x:f>
        <x:v>120</x:v>
      </x:c>
      <x:c r="E33" s="80" t="n">
        <x:f>Models!H24</x:f>
        <x:v>1800</x:v>
      </x:c>
      <x:c r="F33" s="80" t="n">
        <x:f>Models!I24</x:f>
        <x:v>15</x:v>
      </x:c>
      <x:c r="G33" s="80" t="n">
        <x:f>Models!K24</x:f>
        <x:v>60</x:v>
      </x:c>
      <x:c r="H33" s="80" t="n">
        <x:f>Models!L24</x:f>
        <x:v>2500</x:v>
      </x:c>
      <x:c r="I33" s="80" t="str">
        <x:f>Models!M24</x:f>
        <x:v>mesh</x:v>
      </x:c>
      <x:c r="J33" s="80" t="n">
        <x:f>IF(AND($B$4&gt;=D33,$B$4&lt;=E33),1,0)</x:f>
        <x:v>1</x:v>
      </x:c>
      <x:c r="K33" s="80" t="n">
        <x:f>IF($B$5="",1,IF(F33="",1,IF($B$5&lt;=F33,1,0)))</x:f>
        <x:v>1</x:v>
      </x:c>
      <x:c r="L33" s="80" t="n">
        <x:f>IF($B$6="",1,IF(AND($B$7=I33,$B$6&gt;=G33,$B$6&lt;=H33),1,0))</x:f>
        <x:v>0</x:v>
      </x:c>
      <x:c r="M33" s="80" t="n">
        <x:f>J33*40+K33*20+L33*40</x:f>
        <x:v>60</x:v>
      </x:c>
      <x:c r="N33" s="80" t="n">
        <x:f>IF($B$8="",0,SUMIFS(Material_Series_Map!$C$2:$C$300,Material_Series_Map!$A$2:$A$300,$B$8,Material_Series_Map!$B$2:$B$300,C33,Material_Series_Map!$G$2:$G$300,"Verified"))</x:f>
        <x:v>0</x:v>
      </x:c>
      <x:c r="O33" s="80" t="n">
        <x:f>MIN(100,MAX(0,M33+N33))</x:f>
        <x:v>60</x:v>
      </x:c>
      <x:c r="P33" s="82" t="str">
        <x:f>IF(OR(J33=0,K33=0,L33=0),"NO MATCH",IF(O33&gt;=80,"STRONG CANDIDATE","CANDIDATE"))</x:f>
        <x:v>NO MATCH</x:v>
      </x:c>
    </x:row>
    <x:row r="34">
      <x:c r="A34" s="79" t="str">
        <x:f>Models!A25</x:f>
        <x:v>BSP_ULTRAFINE__ASP-900</x:v>
      </x:c>
      <x:c r="B34" s="80" t="str">
        <x:f>Models!D25</x:f>
        <x:v>ASP-900</x:v>
      </x:c>
      <x:c r="C34" s="80" t="str">
        <x:f>Models!C25</x:f>
        <x:v>BSP_ULTRAFINE</x:v>
      </x:c>
      <x:c r="D34" s="80" t="n">
        <x:f>Models!G25</x:f>
        <x:v>800</x:v>
      </x:c>
      <x:c r="E34" s="80" t="n">
        <x:f>Models!H25</x:f>
        <x:v>2500</x:v>
      </x:c>
      <x:c r="F34" s="80" t="n">
        <x:f>Models!I25</x:f>
        <x:v>20</x:v>
      </x:c>
      <x:c r="G34" s="80" t="n">
        <x:f>Models!K25</x:f>
        <x:v>60</x:v>
      </x:c>
      <x:c r="H34" s="80" t="n">
        <x:f>Models!L25</x:f>
        <x:v>2500</x:v>
      </x:c>
      <x:c r="I34" s="80" t="str">
        <x:f>Models!M25</x:f>
        <x:v>mesh</x:v>
      </x:c>
      <x:c r="J34" s="80" t="n">
        <x:f>IF(AND($B$4&gt;=D34,$B$4&lt;=E34),1,0)</x:f>
        <x:v>1</x:v>
      </x:c>
      <x:c r="K34" s="80" t="n">
        <x:f>IF($B$5="",1,IF(F34="",1,IF($B$5&lt;=F34,1,0)))</x:f>
        <x:v>1</x:v>
      </x:c>
      <x:c r="L34" s="80" t="n">
        <x:f>IF($B$6="",1,IF(AND($B$7=I34,$B$6&gt;=G34,$B$6&lt;=H34),1,0))</x:f>
        <x:v>0</x:v>
      </x:c>
      <x:c r="M34" s="80" t="n">
        <x:f>J34*40+K34*20+L34*40</x:f>
        <x:v>60</x:v>
      </x:c>
      <x:c r="N34" s="80" t="n">
        <x:f>IF($B$8="",0,SUMIFS(Material_Series_Map!$C$2:$C$300,Material_Series_Map!$A$2:$A$300,$B$8,Material_Series_Map!$B$2:$B$300,C34,Material_Series_Map!$G$2:$G$300,"Verified"))</x:f>
        <x:v>0</x:v>
      </x:c>
      <x:c r="O34" s="80" t="n">
        <x:f>MIN(100,MAX(0,M34+N34))</x:f>
        <x:v>60</x:v>
      </x:c>
      <x:c r="P34" s="82" t="str">
        <x:f>IF(OR(J34=0,K34=0,L34=0),"NO MATCH",IF(O34&gt;=80,"STRONG CANDIDATE","CANDIDATE"))</x:f>
        <x:v>NO MATCH</x:v>
      </x:c>
    </x:row>
    <x:row r="35">
      <x:c r="A35" s="79" t="str">
        <x:f>Models!A26</x:f>
        <x:v>BSP_ULTRAFINE__ASP-1000</x:v>
      </x:c>
      <x:c r="B35" s="80" t="str">
        <x:f>Models!D26</x:f>
        <x:v>ASP-1000</x:v>
      </x:c>
      <x:c r="C35" s="80" t="str">
        <x:f>Models!C26</x:f>
        <x:v>BSP_ULTRAFINE</x:v>
      </x:c>
      <x:c r="D35" s="80" t="n">
        <x:f>Models!G26</x:f>
        <x:v>1000</x:v>
      </x:c>
      <x:c r="E35" s="80" t="n">
        <x:f>Models!H26</x:f>
        <x:v>3600</x:v>
      </x:c>
      <x:c r="F35" s="80" t="n">
        <x:f>Models!I26</x:f>
        <x:v>20</x:v>
      </x:c>
      <x:c r="G35" s="80" t="n">
        <x:f>Models!K26</x:f>
        <x:v>60</x:v>
      </x:c>
      <x:c r="H35" s="80" t="n">
        <x:f>Models!L26</x:f>
        <x:v>2500</x:v>
      </x:c>
      <x:c r="I35" s="80" t="str">
        <x:f>Models!M26</x:f>
        <x:v>mesh</x:v>
      </x:c>
      <x:c r="J35" s="80" t="n">
        <x:f>IF(AND($B$4&gt;=D35,$B$4&lt;=E35),1,0)</x:f>
        <x:v>1</x:v>
      </x:c>
      <x:c r="K35" s="80" t="n">
        <x:f>IF($B$5="",1,IF(F35="",1,IF($B$5&lt;=F35,1,0)))</x:f>
        <x:v>1</x:v>
      </x:c>
      <x:c r="L35" s="80" t="n">
        <x:f>IF($B$6="",1,IF(AND($B$7=I35,$B$6&gt;=G35,$B$6&lt;=H35),1,0))</x:f>
        <x:v>0</x:v>
      </x:c>
      <x:c r="M35" s="80" t="n">
        <x:f>J35*40+K35*20+L35*40</x:f>
        <x:v>60</x:v>
      </x:c>
      <x:c r="N35" s="80" t="n">
        <x:f>IF($B$8="",0,SUMIFS(Material_Series_Map!$C$2:$C$300,Material_Series_Map!$A$2:$A$300,$B$8,Material_Series_Map!$B$2:$B$300,C35,Material_Series_Map!$G$2:$G$300,"Verified"))</x:f>
        <x:v>0</x:v>
      </x:c>
      <x:c r="O35" s="80" t="n">
        <x:f>MIN(100,MAX(0,M35+N35))</x:f>
        <x:v>60</x:v>
      </x:c>
      <x:c r="P35" s="82" t="str">
        <x:f>IF(OR(J35=0,K35=0,L35=0),"NO MATCH",IF(O35&gt;=80,"STRONG CANDIDATE","CANDIDATE"))</x:f>
        <x:v>NO MATCH</x:v>
      </x:c>
    </x:row>
    <x:row r="36">
      <x:c r="A36" s="79" t="str">
        <x:f>Models!A27</x:f>
        <x:v>BSZ_PIN__ASZ-250</x:v>
      </x:c>
      <x:c r="B36" s="80" t="str">
        <x:f>Models!D27</x:f>
        <x:v>ASZ-250</x:v>
      </x:c>
      <x:c r="C36" s="80" t="str">
        <x:f>Models!C27</x:f>
        <x:v>BSZ_PIN</x:v>
      </x:c>
      <x:c r="D36" s="80" t="n">
        <x:f>Models!G27</x:f>
        <x:v>50</x:v>
      </x:c>
      <x:c r="E36" s="80" t="n">
        <x:f>Models!H27</x:f>
        <x:v>300</x:v>
      </x:c>
      <x:c r="F36" s="80" t="n">
        <x:f>Models!I27</x:f>
        <x:v>5</x:v>
      </x:c>
      <x:c r="G36" s="80" t="n">
        <x:f>Models!K27</x:f>
        <x:v>40</x:v>
      </x:c>
      <x:c r="H36" s="80" t="n">
        <x:f>Models!L27</x:f>
        <x:v>500</x:v>
      </x:c>
      <x:c r="I36" s="80" t="str">
        <x:f>Models!M27</x:f>
        <x:v>mesh</x:v>
      </x:c>
      <x:c r="J36" s="80" t="n">
        <x:f>IF(AND($B$4&gt;=D36,$B$4&lt;=E36),1,0)</x:f>
        <x:v>0</x:v>
      </x:c>
      <x:c r="K36" s="80" t="n">
        <x:f>IF($B$5="",1,IF(F36="",1,IF($B$5&lt;=F36,1,0)))</x:f>
        <x:v>0</x:v>
      </x:c>
      <x:c r="L36" s="80" t="n">
        <x:f>IF($B$6="",1,IF(AND($B$7=I36,$B$6&gt;=G36,$B$6&lt;=H36),1,0))</x:f>
        <x:v>1</x:v>
      </x:c>
      <x:c r="M36" s="80" t="n">
        <x:f>J36*40+K36*20+L36*40</x:f>
        <x:v>40</x:v>
      </x:c>
      <x:c r="N36" s="80" t="n">
        <x:f>IF($B$8="",0,SUMIFS(Material_Series_Map!$C$2:$C$300,Material_Series_Map!$A$2:$A$300,$B$8,Material_Series_Map!$B$2:$B$300,C36,Material_Series_Map!$G$2:$G$300,"Verified"))</x:f>
        <x:v>0</x:v>
      </x:c>
      <x:c r="O36" s="80" t="n">
        <x:f>MIN(100,MAX(0,M36+N36))</x:f>
        <x:v>40</x:v>
      </x:c>
      <x:c r="P36" s="82" t="str">
        <x:f>IF(OR(J36=0,K36=0,L36=0),"NO MATCH",IF(O36&gt;=80,"STRONG CANDIDATE","CANDIDATE"))</x:f>
        <x:v>NO MATCH</x:v>
      </x:c>
    </x:row>
    <x:row r="37">
      <x:c r="A37" s="79" t="str">
        <x:f>Models!A28</x:f>
        <x:v>BSZ_PIN__ASZ-350</x:v>
      </x:c>
      <x:c r="B37" s="80" t="str">
        <x:f>Models!D28</x:f>
        <x:v>ASZ-350</x:v>
      </x:c>
      <x:c r="C37" s="80" t="str">
        <x:f>Models!C28</x:f>
        <x:v>BSZ_PIN</x:v>
      </x:c>
      <x:c r="D37" s="80" t="n">
        <x:f>Models!G28</x:f>
        <x:v>100</x:v>
      </x:c>
      <x:c r="E37" s="80" t="n">
        <x:f>Models!H28</x:f>
        <x:v>1000</x:v>
      </x:c>
      <x:c r="F37" s="80" t="n">
        <x:f>Models!I28</x:f>
        <x:v>15</x:v>
      </x:c>
      <x:c r="G37" s="80" t="n">
        <x:f>Models!K28</x:f>
        <x:v>40</x:v>
      </x:c>
      <x:c r="H37" s="80" t="n">
        <x:f>Models!L28</x:f>
        <x:v>500</x:v>
      </x:c>
      <x:c r="I37" s="80" t="str">
        <x:f>Models!M28</x:f>
        <x:v>mesh</x:v>
      </x:c>
      <x:c r="J37" s="80" t="n">
        <x:f>IF(AND($B$4&gt;=D37,$B$4&lt;=E37),1,0)</x:f>
        <x:v>1</x:v>
      </x:c>
      <x:c r="K37" s="80" t="n">
        <x:f>IF($B$5="",1,IF(F37="",1,IF($B$5&lt;=F37,1,0)))</x:f>
        <x:v>1</x:v>
      </x:c>
      <x:c r="L37" s="80" t="n">
        <x:f>IF($B$6="",1,IF(AND($B$7=I37,$B$6&gt;=G37,$B$6&lt;=H37),1,0))</x:f>
        <x:v>1</x:v>
      </x:c>
      <x:c r="M37" s="80" t="n">
        <x:f>J37*40+K37*20+L37*40</x:f>
        <x:v>100</x:v>
      </x:c>
      <x:c r="N37" s="80" t="n">
        <x:f>IF($B$8="",0,SUMIFS(Material_Series_Map!$C$2:$C$300,Material_Series_Map!$A$2:$A$300,$B$8,Material_Series_Map!$B$2:$B$300,C37,Material_Series_Map!$G$2:$G$300,"Verified"))</x:f>
        <x:v>0</x:v>
      </x:c>
      <x:c r="O37" s="80" t="n">
        <x:f>MIN(100,MAX(0,M37+N37))</x:f>
        <x:v>100</x:v>
      </x:c>
      <x:c r="P37" s="82" t="str">
        <x:f>IF(OR(J37=0,K37=0,L37=0),"NO MATCH",IF(O37&gt;=80,"STRONG CANDIDATE","CANDIDATE"))</x:f>
        <x:v>STRONG CANDIDATE</x:v>
      </x:c>
    </x:row>
    <x:row r="38">
      <x:c r="A38" s="79" t="str">
        <x:f>Models!A29</x:f>
        <x:v>BSZ_PIN__ASZ-450</x:v>
      </x:c>
      <x:c r="B38" s="80" t="str">
        <x:f>Models!D29</x:f>
        <x:v>ASZ-450</x:v>
      </x:c>
      <x:c r="C38" s="80" t="str">
        <x:f>Models!C29</x:f>
        <x:v>BSZ_PIN</x:v>
      </x:c>
      <x:c r="D38" s="80" t="n">
        <x:f>Models!G29</x:f>
        <x:v>300</x:v>
      </x:c>
      <x:c r="E38" s="80" t="n">
        <x:f>Models!H29</x:f>
        <x:v>1500</x:v>
      </x:c>
      <x:c r="F38" s="80" t="n">
        <x:f>Models!I29</x:f>
        <x:v>15</x:v>
      </x:c>
      <x:c r="G38" s="80" t="n">
        <x:f>Models!K29</x:f>
        <x:v>40</x:v>
      </x:c>
      <x:c r="H38" s="80" t="n">
        <x:f>Models!L29</x:f>
        <x:v>500</x:v>
      </x:c>
      <x:c r="I38" s="80" t="str">
        <x:f>Models!M29</x:f>
        <x:v>mesh</x:v>
      </x:c>
      <x:c r="J38" s="80" t="n">
        <x:f>IF(AND($B$4&gt;=D38,$B$4&lt;=E38),1,0)</x:f>
        <x:v>1</x:v>
      </x:c>
      <x:c r="K38" s="80" t="n">
        <x:f>IF($B$5="",1,IF(F38="",1,IF($B$5&lt;=F38,1,0)))</x:f>
        <x:v>1</x:v>
      </x:c>
      <x:c r="L38" s="80" t="n">
        <x:f>IF($B$6="",1,IF(AND($B$7=I38,$B$6&gt;=G38,$B$6&lt;=H38),1,0))</x:f>
        <x:v>1</x:v>
      </x:c>
      <x:c r="M38" s="80" t="n">
        <x:f>J38*40+K38*20+L38*40</x:f>
        <x:v>100</x:v>
      </x:c>
      <x:c r="N38" s="80" t="n">
        <x:f>IF($B$8="",0,SUMIFS(Material_Series_Map!$C$2:$C$300,Material_Series_Map!$A$2:$A$300,$B$8,Material_Series_Map!$B$2:$B$300,C38,Material_Series_Map!$G$2:$G$300,"Verified"))</x:f>
        <x:v>0</x:v>
      </x:c>
      <x:c r="O38" s="80" t="n">
        <x:f>MIN(100,MAX(0,M38+N38))</x:f>
        <x:v>100</x:v>
      </x:c>
      <x:c r="P38" s="82" t="str">
        <x:f>IF(OR(J38=0,K38=0,L38=0),"NO MATCH",IF(O38&gt;=80,"STRONG CANDIDATE","CANDIDATE"))</x:f>
        <x:v>STRONG CANDIDATE</x:v>
      </x:c>
    </x:row>
    <x:row r="39">
      <x:c r="A39" s="79" t="str">
        <x:f>Models!A30</x:f>
        <x:v>BSZ_PIN__ASZ-550</x:v>
      </x:c>
      <x:c r="B39" s="80" t="str">
        <x:f>Models!D30</x:f>
        <x:v>ASZ-550</x:v>
      </x:c>
      <x:c r="C39" s="80" t="str">
        <x:f>Models!C30</x:f>
        <x:v>BSZ_PIN</x:v>
      </x:c>
      <x:c r="D39" s="80" t="n">
        <x:f>Models!G30</x:f>
        <x:v>600</x:v>
      </x:c>
      <x:c r="E39" s="80" t="n">
        <x:f>Models!H30</x:f>
        <x:v>2000</x:v>
      </x:c>
      <x:c r="F39" s="80" t="n">
        <x:f>Models!I30</x:f>
        <x:v>15</x:v>
      </x:c>
      <x:c r="G39" s="80" t="n">
        <x:f>Models!K30</x:f>
        <x:v>40</x:v>
      </x:c>
      <x:c r="H39" s="80" t="n">
        <x:f>Models!L30</x:f>
        <x:v>500</x:v>
      </x:c>
      <x:c r="I39" s="80" t="str">
        <x:f>Models!M30</x:f>
        <x:v>mesh</x:v>
      </x:c>
      <x:c r="J39" s="80" t="n">
        <x:f>IF(AND($B$4&gt;=D39,$B$4&lt;=E39),1,0)</x:f>
        <x:v>1</x:v>
      </x:c>
      <x:c r="K39" s="80" t="n">
        <x:f>IF($B$5="",1,IF(F39="",1,IF($B$5&lt;=F39,1,0)))</x:f>
        <x:v>1</x:v>
      </x:c>
      <x:c r="L39" s="80" t="n">
        <x:f>IF($B$6="",1,IF(AND($B$7=I39,$B$6&gt;=G39,$B$6&lt;=H39),1,0))</x:f>
        <x:v>1</x:v>
      </x:c>
      <x:c r="M39" s="80" t="n">
        <x:f>J39*40+K39*20+L39*40</x:f>
        <x:v>100</x:v>
      </x:c>
      <x:c r="N39" s="80" t="n">
        <x:f>IF($B$8="",0,SUMIFS(Material_Series_Map!$C$2:$C$300,Material_Series_Map!$A$2:$A$300,$B$8,Material_Series_Map!$B$2:$B$300,C39,Material_Series_Map!$G$2:$G$300,"Verified"))</x:f>
        <x:v>0</x:v>
      </x:c>
      <x:c r="O39" s="80" t="n">
        <x:f>MIN(100,MAX(0,M39+N39))</x:f>
        <x:v>100</x:v>
      </x:c>
      <x:c r="P39" s="82" t="str">
        <x:f>IF(OR(J39=0,K39=0,L39=0),"NO MATCH",IF(O39&gt;=80,"STRONG CANDIDATE","CANDIDATE"))</x:f>
        <x:v>STRONG CANDIDATE</x:v>
      </x:c>
    </x:row>
    <x:row r="40">
      <x:c r="A40" s="79" t="str">
        <x:f>Models!A31</x:f>
        <x:v>BSZ_PIN__ASZ-630</x:v>
      </x:c>
      <x:c r="B40" s="80" t="str">
        <x:f>Models!D31</x:f>
        <x:v>ASZ-630</x:v>
      </x:c>
      <x:c r="C40" s="80" t="str">
        <x:f>Models!C31</x:f>
        <x:v>BSZ_PIN</x:v>
      </x:c>
      <x:c r="D40" s="80" t="n">
        <x:f>Models!G31</x:f>
        <x:v>1000</x:v>
      </x:c>
      <x:c r="E40" s="80" t="n">
        <x:f>Models!H31</x:f>
        <x:v>2500</x:v>
      </x:c>
      <x:c r="F40" s="80" t="n">
        <x:f>Models!I31</x:f>
        <x:v>25</x:v>
      </x:c>
      <x:c r="G40" s="80" t="n">
        <x:f>Models!K31</x:f>
        <x:v>40</x:v>
      </x:c>
      <x:c r="H40" s="80" t="n">
        <x:f>Models!L31</x:f>
        <x:v>500</x:v>
      </x:c>
      <x:c r="I40" s="80" t="str">
        <x:f>Models!M31</x:f>
        <x:v>mesh</x:v>
      </x:c>
      <x:c r="J40" s="80" t="n">
        <x:f>IF(AND($B$4&gt;=D40,$B$4&lt;=E40),1,0)</x:f>
        <x:v>1</x:v>
      </x:c>
      <x:c r="K40" s="80" t="n">
        <x:f>IF($B$5="",1,IF(F40="",1,IF($B$5&lt;=F40,1,0)))</x:f>
        <x:v>1</x:v>
      </x:c>
      <x:c r="L40" s="80" t="n">
        <x:f>IF($B$6="",1,IF(AND($B$7=I40,$B$6&gt;=G40,$B$6&lt;=H40),1,0))</x:f>
        <x:v>1</x:v>
      </x:c>
      <x:c r="M40" s="80" t="n">
        <x:f>J40*40+K40*20+L40*40</x:f>
        <x:v>100</x:v>
      </x:c>
      <x:c r="N40" s="80" t="n">
        <x:f>IF($B$8="",0,SUMIFS(Material_Series_Map!$C$2:$C$300,Material_Series_Map!$A$2:$A$300,$B$8,Material_Series_Map!$B$2:$B$300,C40,Material_Series_Map!$G$2:$G$300,"Verified"))</x:f>
        <x:v>0</x:v>
      </x:c>
      <x:c r="O40" s="80" t="n">
        <x:f>MIN(100,MAX(0,M40+N40))</x:f>
        <x:v>100</x:v>
      </x:c>
      <x:c r="P40" s="82" t="str">
        <x:f>IF(OR(J40=0,K40=0,L40=0),"NO MATCH",IF(O40&gt;=80,"STRONG CANDIDATE","CANDIDATE"))</x:f>
        <x:v>STRONG CANDIDATE</x:v>
      </x:c>
    </x:row>
    <x:row r="41">
      <x:c r="A41" s="79" t="str">
        <x:f>Models!A32</x:f>
        <x:v>BSF_BS_HAMMER__ASF-15</x:v>
      </x:c>
      <x:c r="B41" s="80" t="str">
        <x:f>Models!D32</x:f>
        <x:v>ASF-15</x:v>
      </x:c>
      <x:c r="C41" s="80" t="str">
        <x:f>Models!C32</x:f>
        <x:v>BSF_BS_HAMMER</x:v>
      </x:c>
      <x:c r="D41" s="80" t="n">
        <x:f>Models!G32</x:f>
        <x:v>50</x:v>
      </x:c>
      <x:c r="E41" s="80" t="n">
        <x:f>Models!H32</x:f>
        <x:v>300</x:v>
      </x:c>
      <x:c r="F41" s="80" t="n">
        <x:f>Models!I32</x:f>
        <x:v>0</x:v>
      </x:c>
      <x:c r="G41" s="80" t="n">
        <x:f>Models!K32</x:f>
        <x:v>12</x:v>
      </x:c>
      <x:c r="H41" s="80" t="n">
        <x:f>Models!L32</x:f>
        <x:v>120</x:v>
      </x:c>
      <x:c r="I41" s="80" t="str">
        <x:f>Models!M32</x:f>
        <x:v>mesh</x:v>
      </x:c>
      <x:c r="J41" s="80" t="n">
        <x:f>IF(AND($B$4&gt;=D41,$B$4&lt;=E41),1,0)</x:f>
        <x:v>0</x:v>
      </x:c>
      <x:c r="K41" s="80" t="n">
        <x:f>IF($B$5="",1,IF(F41="",1,IF($B$5&lt;=F41,1,0)))</x:f>
        <x:v>1</x:v>
      </x:c>
      <x:c r="L41" s="80" t="n">
        <x:f>IF($B$6="",1,IF(AND($B$7=I41,$B$6&gt;=G41,$B$6&lt;=H41),1,0))</x:f>
        <x:v>1</x:v>
      </x:c>
      <x:c r="M41" s="80" t="n">
        <x:f>J41*40+K41*20+L41*40</x:f>
        <x:v>60</x:v>
      </x:c>
      <x:c r="N41" s="80" t="n">
        <x:f>IF($B$8="",0,SUMIFS(Material_Series_Map!$C$2:$C$300,Material_Series_Map!$A$2:$A$300,$B$8,Material_Series_Map!$B$2:$B$300,C41,Material_Series_Map!$G$2:$G$300,"Verified"))</x:f>
        <x:v>0</x:v>
      </x:c>
      <x:c r="O41" s="80" t="n">
        <x:f>MIN(100,MAX(0,M41+N41))</x:f>
        <x:v>60</x:v>
      </x:c>
      <x:c r="P41" s="82" t="str">
        <x:f>IF(OR(J41=0,K41=0,L41=0),"NO MATCH",IF(O41&gt;=80,"STRONG CANDIDATE","CANDIDATE"))</x:f>
        <x:v>NO MATCH</x:v>
      </x:c>
    </x:row>
    <x:row r="42">
      <x:c r="A42" s="79" t="str">
        <x:f>Models!A33</x:f>
        <x:v>BSF_BS_HAMMER__ASF-32</x:v>
      </x:c>
      <x:c r="B42" s="80" t="str">
        <x:f>Models!D33</x:f>
        <x:v>ASF-32</x:v>
      </x:c>
      <x:c r="C42" s="80" t="str">
        <x:f>Models!C33</x:f>
        <x:v>BSF_BS_HAMMER</x:v>
      </x:c>
      <x:c r="D42" s="80" t="n">
        <x:f>Models!G33</x:f>
        <x:v>100</x:v>
      </x:c>
      <x:c r="E42" s="80" t="n">
        <x:f>Models!H33</x:f>
        <x:v>400</x:v>
      </x:c>
      <x:c r="F42" s="80" t="n">
        <x:f>Models!I33</x:f>
        <x:v>0</x:v>
      </x:c>
      <x:c r="G42" s="80" t="n">
        <x:f>Models!K33</x:f>
        <x:v>12</x:v>
      </x:c>
      <x:c r="H42" s="80" t="n">
        <x:f>Models!L33</x:f>
        <x:v>120</x:v>
      </x:c>
      <x:c r="I42" s="80" t="str">
        <x:f>Models!M33</x:f>
        <x:v>mesh</x:v>
      </x:c>
      <x:c r="J42" s="80" t="n">
        <x:f>IF(AND($B$4&gt;=D42,$B$4&lt;=E42),1,0)</x:f>
        <x:v>0</x:v>
      </x:c>
      <x:c r="K42" s="80" t="n">
        <x:f>IF($B$5="",1,IF(F42="",1,IF($B$5&lt;=F42,1,0)))</x:f>
        <x:v>1</x:v>
      </x:c>
      <x:c r="L42" s="80" t="n">
        <x:f>IF($B$6="",1,IF(AND($B$7=I42,$B$6&gt;=G42,$B$6&lt;=H42),1,0))</x:f>
        <x:v>1</x:v>
      </x:c>
      <x:c r="M42" s="80" t="n">
        <x:f>J42*40+K42*20+L42*40</x:f>
        <x:v>60</x:v>
      </x:c>
      <x:c r="N42" s="80" t="n">
        <x:f>IF($B$8="",0,SUMIFS(Material_Series_Map!$C$2:$C$300,Material_Series_Map!$A$2:$A$300,$B$8,Material_Series_Map!$B$2:$B$300,C42,Material_Series_Map!$G$2:$G$300,"Verified"))</x:f>
        <x:v>0</x:v>
      </x:c>
      <x:c r="O42" s="80" t="n">
        <x:f>MIN(100,MAX(0,M42+N42))</x:f>
        <x:v>60</x:v>
      </x:c>
      <x:c r="P42" s="82" t="str">
        <x:f>IF(OR(J42=0,K42=0,L42=0),"NO MATCH",IF(O42&gt;=80,"STRONG CANDIDATE","CANDIDATE"))</x:f>
        <x:v>NO MATCH</x:v>
      </x:c>
    </x:row>
    <x:row r="43">
      <x:c r="A43" s="79" t="str">
        <x:f>Models!A34</x:f>
        <x:v>BSF_BS_HAMMER__AS-200</x:v>
      </x:c>
      <x:c r="B43" s="80" t="str">
        <x:f>Models!D34</x:f>
        <x:v>AS-200</x:v>
      </x:c>
      <x:c r="C43" s="80" t="str">
        <x:f>Models!C34</x:f>
        <x:v>BSF_BS_HAMMER</x:v>
      </x:c>
      <x:c r="D43" s="80" t="n">
        <x:f>Models!G34</x:f>
        <x:v>50</x:v>
      </x:c>
      <x:c r="E43" s="80" t="n">
        <x:f>Models!H34</x:f>
        <x:v>300</x:v>
      </x:c>
      <x:c r="F43" s="80" t="n">
        <x:f>Models!I34</x:f>
        <x:v>0</x:v>
      </x:c>
      <x:c r="G43" s="80" t="n">
        <x:f>Models!K34</x:f>
        <x:v>12</x:v>
      </x:c>
      <x:c r="H43" s="80" t="n">
        <x:f>Models!L34</x:f>
        <x:v>120</x:v>
      </x:c>
      <x:c r="I43" s="80" t="str">
        <x:f>Models!M34</x:f>
        <x:v>mesh</x:v>
      </x:c>
      <x:c r="J43" s="80" t="n">
        <x:f>IF(AND($B$4&gt;=D43,$B$4&lt;=E43),1,0)</x:f>
        <x:v>0</x:v>
      </x:c>
      <x:c r="K43" s="80" t="n">
        <x:f>IF($B$5="",1,IF(F43="",1,IF($B$5&lt;=F43,1,0)))</x:f>
        <x:v>1</x:v>
      </x:c>
      <x:c r="L43" s="80" t="n">
        <x:f>IF($B$6="",1,IF(AND($B$7=I43,$B$6&gt;=G43,$B$6&lt;=H43),1,0))</x:f>
        <x:v>1</x:v>
      </x:c>
      <x:c r="M43" s="80" t="n">
        <x:f>J43*40+K43*20+L43*40</x:f>
        <x:v>60</x:v>
      </x:c>
      <x:c r="N43" s="80" t="n">
        <x:f>IF($B$8="",0,SUMIFS(Material_Series_Map!$C$2:$C$300,Material_Series_Map!$A$2:$A$300,$B$8,Material_Series_Map!$B$2:$B$300,C43,Material_Series_Map!$G$2:$G$300,"Verified"))</x:f>
        <x:v>0</x:v>
      </x:c>
      <x:c r="O43" s="80" t="n">
        <x:f>MIN(100,MAX(0,M43+N43))</x:f>
        <x:v>60</x:v>
      </x:c>
      <x:c r="P43" s="82" t="str">
        <x:f>IF(OR(J43=0,K43=0,L43=0),"NO MATCH",IF(O43&gt;=80,"STRONG CANDIDATE","CANDIDATE"))</x:f>
        <x:v>NO MATCH</x:v>
      </x:c>
    </x:row>
    <x:row r="44">
      <x:c r="A44" s="79" t="str">
        <x:f>Models!A35</x:f>
        <x:v>BSF_BS_HAMMER__AS-320</x:v>
      </x:c>
      <x:c r="B44" s="80" t="str">
        <x:f>Models!D35</x:f>
        <x:v>AS-320</x:v>
      </x:c>
      <x:c r="C44" s="80" t="str">
        <x:f>Models!C35</x:f>
        <x:v>BSF_BS_HAMMER</x:v>
      </x:c>
      <x:c r="D44" s="80" t="n">
        <x:f>Models!G35</x:f>
        <x:v>100</x:v>
      </x:c>
      <x:c r="E44" s="80" t="n">
        <x:f>Models!H35</x:f>
        <x:v>400</x:v>
      </x:c>
      <x:c r="F44" s="80" t="n">
        <x:f>Models!I35</x:f>
        <x:v>0</x:v>
      </x:c>
      <x:c r="G44" s="80" t="n">
        <x:f>Models!K35</x:f>
        <x:v>12</x:v>
      </x:c>
      <x:c r="H44" s="80" t="n">
        <x:f>Models!L35</x:f>
        <x:v>120</x:v>
      </x:c>
      <x:c r="I44" s="80" t="str">
        <x:f>Models!M35</x:f>
        <x:v>mesh</x:v>
      </x:c>
      <x:c r="J44" s="80" t="n">
        <x:f>IF(AND($B$4&gt;=D44,$B$4&lt;=E44),1,0)</x:f>
        <x:v>0</x:v>
      </x:c>
      <x:c r="K44" s="80" t="n">
        <x:f>IF($B$5="",1,IF(F44="",1,IF($B$5&lt;=F44,1,0)))</x:f>
        <x:v>1</x:v>
      </x:c>
      <x:c r="L44" s="80" t="n">
        <x:f>IF($B$6="",1,IF(AND($B$7=I44,$B$6&gt;=G44,$B$6&lt;=H44),1,0))</x:f>
        <x:v>1</x:v>
      </x:c>
      <x:c r="M44" s="80" t="n">
        <x:f>J44*40+K44*20+L44*40</x:f>
        <x:v>60</x:v>
      </x:c>
      <x:c r="N44" s="80" t="n">
        <x:f>IF($B$8="",0,SUMIFS(Material_Series_Map!$C$2:$C$300,Material_Series_Map!$A$2:$A$300,$B$8,Material_Series_Map!$B$2:$B$300,C44,Material_Series_Map!$G$2:$G$300,"Verified"))</x:f>
        <x:v>0</x:v>
      </x:c>
      <x:c r="O44" s="80" t="n">
        <x:f>MIN(100,MAX(0,M44+N44))</x:f>
        <x:v>60</x:v>
      </x:c>
      <x:c r="P44" s="82" t="str">
        <x:f>IF(OR(J44=0,K44=0,L44=0),"NO MATCH",IF(O44&gt;=80,"STRONG CANDIDATE","CANDIDATE"))</x:f>
        <x:v>NO MATCH</x:v>
      </x:c>
    </x:row>
    <x:row r="45">
      <x:c r="A45" s="79" t="str">
        <x:f>Models!A36</x:f>
        <x:v>BSF_BS_HAMMER__AS-400</x:v>
      </x:c>
      <x:c r="B45" s="80" t="str">
        <x:f>Models!D36</x:f>
        <x:v>AS-400</x:v>
      </x:c>
      <x:c r="C45" s="80" t="str">
        <x:f>Models!C36</x:f>
        <x:v>BSF_BS_HAMMER</x:v>
      </x:c>
      <x:c r="D45" s="80" t="n">
        <x:f>Models!G36</x:f>
        <x:v>100</x:v>
      </x:c>
      <x:c r="E45" s="80" t="n">
        <x:f>Models!H36</x:f>
        <x:v>1200</x:v>
      </x:c>
      <x:c r="F45" s="80" t="n">
        <x:f>Models!I36</x:f>
        <x:v>0</x:v>
      </x:c>
      <x:c r="G45" s="80" t="n">
        <x:f>Models!K36</x:f>
        <x:v>12</x:v>
      </x:c>
      <x:c r="H45" s="80" t="n">
        <x:f>Models!L36</x:f>
        <x:v>120</x:v>
      </x:c>
      <x:c r="I45" s="80" t="str">
        <x:f>Models!M36</x:f>
        <x:v>mesh</x:v>
      </x:c>
      <x:c r="J45" s="80" t="n">
        <x:f>IF(AND($B$4&gt;=D45,$B$4&lt;=E45),1,0)</x:f>
        <x:v>1</x:v>
      </x:c>
      <x:c r="K45" s="80" t="n">
        <x:f>IF($B$5="",1,IF(F45="",1,IF($B$5&lt;=F45,1,0)))</x:f>
        <x:v>1</x:v>
      </x:c>
      <x:c r="L45" s="80" t="n">
        <x:f>IF($B$6="",1,IF(AND($B$7=I45,$B$6&gt;=G45,$B$6&lt;=H45),1,0))</x:f>
        <x:v>1</x:v>
      </x:c>
      <x:c r="M45" s="80" t="n">
        <x:f>J45*40+K45*20+L45*40</x:f>
        <x:v>100</x:v>
      </x:c>
      <x:c r="N45" s="80" t="n">
        <x:f>IF($B$8="",0,SUMIFS(Material_Series_Map!$C$2:$C$300,Material_Series_Map!$A$2:$A$300,$B$8,Material_Series_Map!$B$2:$B$300,C45,Material_Series_Map!$G$2:$G$300,"Verified"))</x:f>
        <x:v>0</x:v>
      </x:c>
      <x:c r="O45" s="80" t="n">
        <x:f>MIN(100,MAX(0,M45+N45))</x:f>
        <x:v>100</x:v>
      </x:c>
      <x:c r="P45" s="82" t="str">
        <x:f>IF(OR(J45=0,K45=0,L45=0),"NO MATCH",IF(O45&gt;=80,"STRONG CANDIDATE","CANDIDATE"))</x:f>
        <x:v>STRONG CANDIDATE</x:v>
      </x:c>
    </x:row>
    <x:row r="46">
      <x:c r="A46" s="79" t="str">
        <x:f>Models!A37</x:f>
        <x:v>BSF_BS_HAMMER__AS-630</x:v>
      </x:c>
      <x:c r="B46" s="80" t="str">
        <x:f>Models!D37</x:f>
        <x:v>AS-630</x:v>
      </x:c>
      <x:c r="C46" s="80" t="str">
        <x:f>Models!C37</x:f>
        <x:v>BSF_BS_HAMMER</x:v>
      </x:c>
      <x:c r="D46" s="80" t="n">
        <x:f>Models!G37</x:f>
        <x:v>300</x:v>
      </x:c>
      <x:c r="E46" s="80" t="n">
        <x:f>Models!H37</x:f>
        <x:v>1800</x:v>
      </x:c>
      <x:c r="F46" s="80" t="n">
        <x:f>Models!I37</x:f>
        <x:v>0</x:v>
      </x:c>
      <x:c r="G46" s="80" t="n">
        <x:f>Models!K37</x:f>
        <x:v>12</x:v>
      </x:c>
      <x:c r="H46" s="80" t="n">
        <x:f>Models!L37</x:f>
        <x:v>120</x:v>
      </x:c>
      <x:c r="I46" s="80" t="str">
        <x:f>Models!M37</x:f>
        <x:v>mesh</x:v>
      </x:c>
      <x:c r="J46" s="80" t="n">
        <x:f>IF(AND($B$4&gt;=D46,$B$4&lt;=E46),1,0)</x:f>
        <x:v>1</x:v>
      </x:c>
      <x:c r="K46" s="80" t="n">
        <x:f>IF($B$5="",1,IF(F46="",1,IF($B$5&lt;=F46,1,0)))</x:f>
        <x:v>1</x:v>
      </x:c>
      <x:c r="L46" s="80" t="n">
        <x:f>IF($B$6="",1,IF(AND($B$7=I46,$B$6&gt;=G46,$B$6&lt;=H46),1,0))</x:f>
        <x:v>1</x:v>
      </x:c>
      <x:c r="M46" s="80" t="n">
        <x:f>J46*40+K46*20+L46*40</x:f>
        <x:v>100</x:v>
      </x:c>
      <x:c r="N46" s="80" t="n">
        <x:f>IF($B$8="",0,SUMIFS(Material_Series_Map!$C$2:$C$300,Material_Series_Map!$A$2:$A$300,$B$8,Material_Series_Map!$B$2:$B$300,C46,Material_Series_Map!$G$2:$G$300,"Verified"))</x:f>
        <x:v>0</x:v>
      </x:c>
      <x:c r="O46" s="80" t="n">
        <x:f>MIN(100,MAX(0,M46+N46))</x:f>
        <x:v>100</x:v>
      </x:c>
      <x:c r="P46" s="82" t="str">
        <x:f>IF(OR(J46=0,K46=0,L46=0),"NO MATCH",IF(O46&gt;=80,"STRONG CANDIDATE","CANDIDATE"))</x:f>
        <x:v>STRONG CANDIDATE</x:v>
      </x:c>
    </x:row>
    <x:row r="47">
      <x:c r="A47" s="79" t="str">
        <x:f>Models!A38</x:f>
        <x:v>BSF_BS_HAMMER__AS-880</x:v>
      </x:c>
      <x:c r="B47" s="80" t="str">
        <x:f>Models!D38</x:f>
        <x:v>AS-880</x:v>
      </x:c>
      <x:c r="C47" s="80" t="str">
        <x:f>Models!C38</x:f>
        <x:v>BSF_BS_HAMMER</x:v>
      </x:c>
      <x:c r="D47" s="80" t="n">
        <x:f>Models!G38</x:f>
        <x:v>400</x:v>
      </x:c>
      <x:c r="E47" s="80" t="n">
        <x:f>Models!H38</x:f>
        <x:v>2000</x:v>
      </x:c>
      <x:c r="F47" s="80" t="n">
        <x:f>Models!I38</x:f>
        <x:v>0</x:v>
      </x:c>
      <x:c r="G47" s="80" t="n">
        <x:f>Models!K38</x:f>
        <x:v>12</x:v>
      </x:c>
      <x:c r="H47" s="80" t="n">
        <x:f>Models!L38</x:f>
        <x:v>120</x:v>
      </x:c>
      <x:c r="I47" s="80" t="str">
        <x:f>Models!M38</x:f>
        <x:v>mesh</x:v>
      </x:c>
      <x:c r="J47" s="80" t="n">
        <x:f>IF(AND($B$4&gt;=D47,$B$4&lt;=E47),1,0)</x:f>
        <x:v>1</x:v>
      </x:c>
      <x:c r="K47" s="80" t="n">
        <x:f>IF($B$5="",1,IF(F47="",1,IF($B$5&lt;=F47,1,0)))</x:f>
        <x:v>1</x:v>
      </x:c>
      <x:c r="L47" s="80" t="n">
        <x:f>IF($B$6="",1,IF(AND($B$7=I47,$B$6&gt;=G47,$B$6&lt;=H47),1,0))</x:f>
        <x:v>1</x:v>
      </x:c>
      <x:c r="M47" s="80" t="n">
        <x:f>J47*40+K47*20+L47*40</x:f>
        <x:v>100</x:v>
      </x:c>
      <x:c r="N47" s="80" t="n">
        <x:f>IF($B$8="",0,SUMIFS(Material_Series_Map!$C$2:$C$300,Material_Series_Map!$A$2:$A$300,$B$8,Material_Series_Map!$B$2:$B$300,C47,Material_Series_Map!$G$2:$G$300,"Verified"))</x:f>
        <x:v>0</x:v>
      </x:c>
      <x:c r="O47" s="80" t="n">
        <x:f>MIN(100,MAX(0,M47+N47))</x:f>
        <x:v>100</x:v>
      </x:c>
      <x:c r="P47" s="82" t="str">
        <x:f>IF(OR(J47=0,K47=0,L47=0),"NO MATCH",IF(O47&gt;=80,"STRONG CANDIDATE","CANDIDATE"))</x:f>
        <x:v>STRONG CANDIDATE</x:v>
      </x:c>
    </x:row>
    <x:row r="48">
      <x:c r="A48" s="79" t="str">
        <x:f>Models!A39</x:f>
        <x:v>BSF_BS_HAMMER__AS-1000</x:v>
      </x:c>
      <x:c r="B48" s="80" t="str">
        <x:f>Models!D39</x:f>
        <x:v>AS-1000</x:v>
      </x:c>
      <x:c r="C48" s="80" t="str">
        <x:f>Models!C39</x:f>
        <x:v>BSF_BS_HAMMER</x:v>
      </x:c>
      <x:c r="D48" s="80" t="n">
        <x:f>Models!G39</x:f>
        <x:v>1000</x:v>
      </x:c>
      <x:c r="E48" s="80" t="n">
        <x:f>Models!H39</x:f>
        <x:v>3000</x:v>
      </x:c>
      <x:c r="F48" s="80" t="n">
        <x:f>Models!I39</x:f>
        <x:v>0</x:v>
      </x:c>
      <x:c r="G48" s="80" t="n">
        <x:f>Models!K39</x:f>
        <x:v>12</x:v>
      </x:c>
      <x:c r="H48" s="80" t="n">
        <x:f>Models!L39</x:f>
        <x:v>120</x:v>
      </x:c>
      <x:c r="I48" s="80" t="str">
        <x:f>Models!M39</x:f>
        <x:v>mesh</x:v>
      </x:c>
      <x:c r="J48" s="80" t="n">
        <x:f>IF(AND($B$4&gt;=D48,$B$4&lt;=E48),1,0)</x:f>
        <x:v>1</x:v>
      </x:c>
      <x:c r="K48" s="80" t="n">
        <x:f>IF($B$5="",1,IF(F48="",1,IF($B$5&lt;=F48,1,0)))</x:f>
        <x:v>1</x:v>
      </x:c>
      <x:c r="L48" s="80" t="n">
        <x:f>IF($B$6="",1,IF(AND($B$7=I48,$B$6&gt;=G48,$B$6&lt;=H48),1,0))</x:f>
        <x:v>1</x:v>
      </x:c>
      <x:c r="M48" s="80" t="n">
        <x:f>J48*40+K48*20+L48*40</x:f>
        <x:v>100</x:v>
      </x:c>
      <x:c r="N48" s="80" t="n">
        <x:f>IF($B$8="",0,SUMIFS(Material_Series_Map!$C$2:$C$300,Material_Series_Map!$A$2:$A$300,$B$8,Material_Series_Map!$B$2:$B$300,C48,Material_Series_Map!$G$2:$G$300,"Verified"))</x:f>
        <x:v>0</x:v>
      </x:c>
      <x:c r="O48" s="80" t="n">
        <x:f>MIN(100,MAX(0,M48+N48))</x:f>
        <x:v>100</x:v>
      </x:c>
      <x:c r="P48" s="82" t="str">
        <x:f>IF(OR(J48=0,K48=0,L48=0),"NO MATCH",IF(O48&gt;=80,"STRONG CANDIDATE","CANDIDATE"))</x:f>
        <x:v>STRONG CANDIDATE</x:v>
      </x:c>
    </x:row>
    <x:row r="49">
      <x:c r="A49" s="79" t="str">
        <x:f>Models!A40</x:f>
        <x:v>BSDF_MULTISTAGE__ASDF-350</x:v>
      </x:c>
      <x:c r="B49" s="80" t="str">
        <x:f>Models!D40</x:f>
        <x:v>ASDF-350</x:v>
      </x:c>
      <x:c r="C49" s="80" t="str">
        <x:f>Models!C40</x:f>
        <x:v>BSDF_MULTISTAGE</x:v>
      </x:c>
      <x:c r="D49" s="80" t="n">
        <x:f>Models!G40</x:f>
        <x:v>100</x:v>
      </x:c>
      <x:c r="E49" s="80" t="n">
        <x:f>Models!H40</x:f>
        <x:v>200</x:v>
      </x:c>
      <x:c r="F49" s="80" t="n">
        <x:f>Models!I40</x:f>
        <x:v>0</x:v>
      </x:c>
      <x:c r="G49" s="80" t="n">
        <x:f>Models!K40</x:f>
        <x:v>20</x:v>
      </x:c>
      <x:c r="H49" s="80" t="n">
        <x:f>Models!L40</x:f>
        <x:v>150</x:v>
      </x:c>
      <x:c r="I49" s="80" t="str">
        <x:f>Models!M40</x:f>
        <x:v>mesh</x:v>
      </x:c>
      <x:c r="J49" s="80" t="n">
        <x:f>IF(AND($B$4&gt;=D49,$B$4&lt;=E49),1,0)</x:f>
        <x:v>0</x:v>
      </x:c>
      <x:c r="K49" s="80" t="n">
        <x:f>IF($B$5="",1,IF(F49="",1,IF($B$5&lt;=F49,1,0)))</x:f>
        <x:v>1</x:v>
      </x:c>
      <x:c r="L49" s="80" t="n">
        <x:f>IF($B$6="",1,IF(AND($B$7=I49,$B$6&gt;=G49,$B$6&lt;=H49),1,0))</x:f>
        <x:v>1</x:v>
      </x:c>
      <x:c r="M49" s="80" t="n">
        <x:f>J49*40+K49*20+L49*40</x:f>
        <x:v>60</x:v>
      </x:c>
      <x:c r="N49" s="80" t="n">
        <x:f>IF($B$8="",0,SUMIFS(Material_Series_Map!$C$2:$C$300,Material_Series_Map!$A$2:$A$300,$B$8,Material_Series_Map!$B$2:$B$300,C49,Material_Series_Map!$G$2:$G$300,"Verified"))</x:f>
        <x:v>0</x:v>
      </x:c>
      <x:c r="O49" s="80" t="n">
        <x:f>MIN(100,MAX(0,M49+N49))</x:f>
        <x:v>60</x:v>
      </x:c>
      <x:c r="P49" s="82" t="str">
        <x:f>IF(OR(J49=0,K49=0,L49=0),"NO MATCH",IF(O49&gt;=80,"STRONG CANDIDATE","CANDIDATE"))</x:f>
        <x:v>NO MATCH</x:v>
      </x:c>
    </x:row>
    <x:row r="50">
      <x:c r="A50" s="79" t="str">
        <x:f>Models!A41</x:f>
        <x:v>BSDF_MULTISTAGE__ASDF-450</x:v>
      </x:c>
      <x:c r="B50" s="80" t="str">
        <x:f>Models!D41</x:f>
        <x:v>ASDF-450</x:v>
      </x:c>
      <x:c r="C50" s="80" t="str">
        <x:f>Models!C41</x:f>
        <x:v>BSDF_MULTISTAGE</x:v>
      </x:c>
      <x:c r="D50" s="80" t="n">
        <x:f>Models!G41</x:f>
        <x:v>300</x:v>
      </x:c>
      <x:c r="E50" s="80" t="n">
        <x:f>Models!H41</x:f>
        <x:v>500</x:v>
      </x:c>
      <x:c r="F50" s="80" t="n">
        <x:f>Models!I41</x:f>
        <x:v>0</x:v>
      </x:c>
      <x:c r="G50" s="80" t="n">
        <x:f>Models!K41</x:f>
        <x:v>20</x:v>
      </x:c>
      <x:c r="H50" s="80" t="n">
        <x:f>Models!L41</x:f>
        <x:v>150</x:v>
      </x:c>
      <x:c r="I50" s="80" t="str">
        <x:f>Models!M41</x:f>
        <x:v>mesh</x:v>
      </x:c>
      <x:c r="J50" s="80" t="n">
        <x:f>IF(AND($B$4&gt;=D50,$B$4&lt;=E50),1,0)</x:f>
        <x:v>0</x:v>
      </x:c>
      <x:c r="K50" s="80" t="n">
        <x:f>IF($B$5="",1,IF(F50="",1,IF($B$5&lt;=F50,1,0)))</x:f>
        <x:v>1</x:v>
      </x:c>
      <x:c r="L50" s="80" t="n">
        <x:f>IF($B$6="",1,IF(AND($B$7=I50,$B$6&gt;=G50,$B$6&lt;=H50),1,0))</x:f>
        <x:v>1</x:v>
      </x:c>
      <x:c r="M50" s="80" t="n">
        <x:f>J50*40+K50*20+L50*40</x:f>
        <x:v>60</x:v>
      </x:c>
      <x:c r="N50" s="80" t="n">
        <x:f>IF($B$8="",0,SUMIFS(Material_Series_Map!$C$2:$C$300,Material_Series_Map!$A$2:$A$300,$B$8,Material_Series_Map!$B$2:$B$300,C50,Material_Series_Map!$G$2:$G$300,"Verified"))</x:f>
        <x:v>0</x:v>
      </x:c>
      <x:c r="O50" s="80" t="n">
        <x:f>MIN(100,MAX(0,M50+N50))</x:f>
        <x:v>60</x:v>
      </x:c>
      <x:c r="P50" s="82" t="str">
        <x:f>IF(OR(J50=0,K50=0,L50=0),"NO MATCH",IF(O50&gt;=80,"STRONG CANDIDATE","CANDIDATE"))</x:f>
        <x:v>NO MATCH</x:v>
      </x:c>
    </x:row>
    <x:row r="51">
      <x:c r="A51" s="79" t="str">
        <x:f>Models!A42</x:f>
        <x:v>BSDF_MULTISTAGE__ASDF-550</x:v>
      </x:c>
      <x:c r="B51" s="80" t="str">
        <x:f>Models!D42</x:f>
        <x:v>ASDF-550</x:v>
      </x:c>
      <x:c r="C51" s="80" t="str">
        <x:f>Models!C42</x:f>
        <x:v>BSDF_MULTISTAGE</x:v>
      </x:c>
      <x:c r="D51" s="80" t="n">
        <x:f>Models!G42</x:f>
        <x:v>600</x:v>
      </x:c>
      <x:c r="E51" s="80" t="n">
        <x:f>Models!H42</x:f>
        <x:v>800</x:v>
      </x:c>
      <x:c r="F51" s="80" t="n">
        <x:f>Models!I42</x:f>
        <x:v>0</x:v>
      </x:c>
      <x:c r="G51" s="80" t="n">
        <x:f>Models!K42</x:f>
        <x:v>20</x:v>
      </x:c>
      <x:c r="H51" s="80" t="n">
        <x:f>Models!L42</x:f>
        <x:v>150</x:v>
      </x:c>
      <x:c r="I51" s="80" t="str">
        <x:f>Models!M42</x:f>
        <x:v>mesh</x:v>
      </x:c>
      <x:c r="J51" s="80" t="n">
        <x:f>IF(AND($B$4&gt;=D51,$B$4&lt;=E51),1,0)</x:f>
        <x:v>0</x:v>
      </x:c>
      <x:c r="K51" s="80" t="n">
        <x:f>IF($B$5="",1,IF(F51="",1,IF($B$5&lt;=F51,1,0)))</x:f>
        <x:v>1</x:v>
      </x:c>
      <x:c r="L51" s="80" t="n">
        <x:f>IF($B$6="",1,IF(AND($B$7=I51,$B$6&gt;=G51,$B$6&lt;=H51),1,0))</x:f>
        <x:v>1</x:v>
      </x:c>
      <x:c r="M51" s="80" t="n">
        <x:f>J51*40+K51*20+L51*40</x:f>
        <x:v>60</x:v>
      </x:c>
      <x:c r="N51" s="80" t="n">
        <x:f>IF($B$8="",0,SUMIFS(Material_Series_Map!$C$2:$C$300,Material_Series_Map!$A$2:$A$300,$B$8,Material_Series_Map!$B$2:$B$300,C51,Material_Series_Map!$G$2:$G$300,"Verified"))</x:f>
        <x:v>0</x:v>
      </x:c>
      <x:c r="O51" s="80" t="n">
        <x:f>MIN(100,MAX(0,M51+N51))</x:f>
        <x:v>60</x:v>
      </x:c>
      <x:c r="P51" s="82" t="str">
        <x:f>IF(OR(J51=0,K51=0,L51=0),"NO MATCH",IF(O51&gt;=80,"STRONG CANDIDATE","CANDIDATE"))</x:f>
        <x:v>NO MATCH</x:v>
      </x:c>
    </x:row>
    <x:row r="52">
      <x:c r="A52" s="79" t="str">
        <x:f>Models!A43</x:f>
        <x:v>BSDF_MULTISTAGE__ASDF-750</x:v>
      </x:c>
      <x:c r="B52" s="80" t="str">
        <x:f>Models!D43</x:f>
        <x:v>ASDF-750</x:v>
      </x:c>
      <x:c r="C52" s="80" t="str">
        <x:f>Models!C43</x:f>
        <x:v>BSDF_MULTISTAGE</x:v>
      </x:c>
      <x:c r="D52" s="80" t="n">
        <x:f>Models!G43</x:f>
        <x:v>800</x:v>
      </x:c>
      <x:c r="E52" s="80" t="n">
        <x:f>Models!H43</x:f>
        <x:v>1300</x:v>
      </x:c>
      <x:c r="F52" s="80" t="n">
        <x:f>Models!I43</x:f>
        <x:v>0</x:v>
      </x:c>
      <x:c r="G52" s="80" t="n">
        <x:f>Models!K43</x:f>
        <x:v>20</x:v>
      </x:c>
      <x:c r="H52" s="80" t="n">
        <x:f>Models!L43</x:f>
        <x:v>150</x:v>
      </x:c>
      <x:c r="I52" s="80" t="str">
        <x:f>Models!M43</x:f>
        <x:v>mesh</x:v>
      </x:c>
      <x:c r="J52" s="80" t="n">
        <x:f>IF(AND($B$4&gt;=D52,$B$4&lt;=E52),1,0)</x:f>
        <x:v>1</x:v>
      </x:c>
      <x:c r="K52" s="80" t="n">
        <x:f>IF($B$5="",1,IF(F52="",1,IF($B$5&lt;=F52,1,0)))</x:f>
        <x:v>1</x:v>
      </x:c>
      <x:c r="L52" s="80" t="n">
        <x:f>IF($B$6="",1,IF(AND($B$7=I52,$B$6&gt;=G52,$B$6&lt;=H52),1,0))</x:f>
        <x:v>1</x:v>
      </x:c>
      <x:c r="M52" s="80" t="n">
        <x:f>J52*40+K52*20+L52*40</x:f>
        <x:v>100</x:v>
      </x:c>
      <x:c r="N52" s="80" t="n">
        <x:f>IF($B$8="",0,SUMIFS(Material_Series_Map!$C$2:$C$300,Material_Series_Map!$A$2:$A$300,$B$8,Material_Series_Map!$B$2:$B$300,C52,Material_Series_Map!$G$2:$G$300,"Verified"))</x:f>
        <x:v>0</x:v>
      </x:c>
      <x:c r="O52" s="80" t="n">
        <x:f>MIN(100,MAX(0,M52+N52))</x:f>
        <x:v>100</x:v>
      </x:c>
      <x:c r="P52" s="82" t="str">
        <x:f>IF(OR(J52=0,K52=0,L52=0),"NO MATCH",IF(O52&gt;=80,"STRONG CANDIDATE","CANDIDATE"))</x:f>
        <x:v>STRONG CANDIDATE</x:v>
      </x:c>
    </x:row>
    <x:row r="53">
      <x:c r="A53" s="79" t="str">
        <x:f>Models!A44</x:f>
        <x:v>BS_ROLLER__AS150-3</x:v>
      </x:c>
      <x:c r="B53" s="80" t="str">
        <x:f>Models!D44</x:f>
        <x:v>AS150-3</x:v>
      </x:c>
      <x:c r="C53" s="80" t="str">
        <x:f>Models!C44</x:f>
        <x:v>BS_ROLLER</x:v>
      </x:c>
      <x:c r="D53" s="80" t="n">
        <x:f>Models!G44</x:f>
        <x:v>50</x:v>
      </x:c>
      <x:c r="E53" s="80" t="n">
        <x:f>Models!H44</x:f>
        <x:v>200</x:v>
      </x:c>
      <x:c r="F53" s="80" t="n">
        <x:f>Models!I44</x:f>
        <x:v>0</x:v>
      </x:c>
      <x:c r="G53" s="80" t="n">
        <x:f>Models!K44</x:f>
        <x:v>10</x:v>
      </x:c>
      <x:c r="H53" s="80" t="n">
        <x:f>Models!L44</x:f>
        <x:v>40</x:v>
      </x:c>
      <x:c r="I53" s="80" t="str">
        <x:f>Models!M44</x:f>
        <x:v>mesh</x:v>
      </x:c>
      <x:c r="J53" s="80" t="n">
        <x:f>IF(AND($B$4&gt;=D53,$B$4&lt;=E53),1,0)</x:f>
        <x:v>0</x:v>
      </x:c>
      <x:c r="K53" s="80" t="n">
        <x:f>IF($B$5="",1,IF(F53="",1,IF($B$5&lt;=F53,1,0)))</x:f>
        <x:v>1</x:v>
      </x:c>
      <x:c r="L53" s="80" t="n">
        <x:f>IF($B$6="",1,IF(AND($B$7=I53,$B$6&gt;=G53,$B$6&lt;=H53),1,0))</x:f>
        <x:v>0</x:v>
      </x:c>
      <x:c r="M53" s="80" t="n">
        <x:f>J53*40+K53*20+L53*40</x:f>
        <x:v>20</x:v>
      </x:c>
      <x:c r="N53" s="80" t="n">
        <x:f>IF($B$8="",0,SUMIFS(Material_Series_Map!$C$2:$C$300,Material_Series_Map!$A$2:$A$300,$B$8,Material_Series_Map!$B$2:$B$300,C53,Material_Series_Map!$G$2:$G$300,"Verified"))</x:f>
        <x:v>0</x:v>
      </x:c>
      <x:c r="O53" s="80" t="n">
        <x:f>MIN(100,MAX(0,M53+N53))</x:f>
        <x:v>20</x:v>
      </x:c>
      <x:c r="P53" s="82" t="str">
        <x:f>IF(OR(J53=0,K53=0,L53=0),"NO MATCH",IF(O53&gt;=80,"STRONG CANDIDATE","CANDIDATE"))</x:f>
        <x:v>NO MATCH</x:v>
      </x:c>
    </x:row>
    <x:row r="54">
      <x:c r="A54" s="79" t="str">
        <x:f>Models!A45</x:f>
        <x:v>BS_ROLLER__AS150-4</x:v>
      </x:c>
      <x:c r="B54" s="80" t="str">
        <x:f>Models!D45</x:f>
        <x:v>AS150-4</x:v>
      </x:c>
      <x:c r="C54" s="80" t="str">
        <x:f>Models!C45</x:f>
        <x:v>BS_ROLLER</x:v>
      </x:c>
      <x:c r="D54" s="80" t="n">
        <x:f>Models!G45</x:f>
        <x:v>50</x:v>
      </x:c>
      <x:c r="E54" s="80" t="n">
        <x:f>Models!H45</x:f>
        <x:v>200</x:v>
      </x:c>
      <x:c r="F54" s="80" t="n">
        <x:f>Models!I45</x:f>
        <x:v>0</x:v>
      </x:c>
      <x:c r="G54" s="80" t="n">
        <x:f>Models!K45</x:f>
        <x:v>10</x:v>
      </x:c>
      <x:c r="H54" s="80" t="n">
        <x:f>Models!L45</x:f>
        <x:v>40</x:v>
      </x:c>
      <x:c r="I54" s="80" t="str">
        <x:f>Models!M45</x:f>
        <x:v>mesh</x:v>
      </x:c>
      <x:c r="J54" s="80" t="n">
        <x:f>IF(AND($B$4&gt;=D54,$B$4&lt;=E54),1,0)</x:f>
        <x:v>0</x:v>
      </x:c>
      <x:c r="K54" s="80" t="n">
        <x:f>IF($B$5="",1,IF(F54="",1,IF($B$5&lt;=F54,1,0)))</x:f>
        <x:v>1</x:v>
      </x:c>
      <x:c r="L54" s="80" t="n">
        <x:f>IF($B$6="",1,IF(AND($B$7=I54,$B$6&gt;=G54,$B$6&lt;=H54),1,0))</x:f>
        <x:v>0</x:v>
      </x:c>
      <x:c r="M54" s="80" t="n">
        <x:f>J54*40+K54*20+L54*40</x:f>
        <x:v>20</x:v>
      </x:c>
      <x:c r="N54" s="80" t="n">
        <x:f>IF($B$8="",0,SUMIFS(Material_Series_Map!$C$2:$C$300,Material_Series_Map!$A$2:$A$300,$B$8,Material_Series_Map!$B$2:$B$300,C54,Material_Series_Map!$G$2:$G$300,"Verified"))</x:f>
        <x:v>0</x:v>
      </x:c>
      <x:c r="O54" s="80" t="n">
        <x:f>MIN(100,MAX(0,M54+N54))</x:f>
        <x:v>20</x:v>
      </x:c>
      <x:c r="P54" s="82" t="str">
        <x:f>IF(OR(J54=0,K54=0,L54=0),"NO MATCH",IF(O54&gt;=80,"STRONG CANDIDATE","CANDIDATE"))</x:f>
        <x:v>NO MATCH</x:v>
      </x:c>
    </x:row>
    <x:row r="55">
      <x:c r="A55" s="79" t="str">
        <x:f>Models!A46</x:f>
        <x:v>BS_ROLLER__AS250-3</x:v>
      </x:c>
      <x:c r="B55" s="80" t="str">
        <x:f>Models!D46</x:f>
        <x:v>AS250-3</x:v>
      </x:c>
      <x:c r="C55" s="80" t="str">
        <x:f>Models!C46</x:f>
        <x:v>BS_ROLLER</x:v>
      </x:c>
      <x:c r="D55" s="80" t="n">
        <x:f>Models!G46</x:f>
        <x:v>100</x:v>
      </x:c>
      <x:c r="E55" s="80" t="n">
        <x:f>Models!H46</x:f>
        <x:v>400</x:v>
      </x:c>
      <x:c r="F55" s="80" t="n">
        <x:f>Models!I46</x:f>
        <x:v>0</x:v>
      </x:c>
      <x:c r="G55" s="80" t="n">
        <x:f>Models!K46</x:f>
        <x:v>10</x:v>
      </x:c>
      <x:c r="H55" s="80" t="n">
        <x:f>Models!L46</x:f>
        <x:v>40</x:v>
      </x:c>
      <x:c r="I55" s="80" t="str">
        <x:f>Models!M46</x:f>
        <x:v>mesh</x:v>
      </x:c>
      <x:c r="J55" s="80" t="n">
        <x:f>IF(AND($B$4&gt;=D55,$B$4&lt;=E55),1,0)</x:f>
        <x:v>0</x:v>
      </x:c>
      <x:c r="K55" s="80" t="n">
        <x:f>IF($B$5="",1,IF(F55="",1,IF($B$5&lt;=F55,1,0)))</x:f>
        <x:v>1</x:v>
      </x:c>
      <x:c r="L55" s="80" t="n">
        <x:f>IF($B$6="",1,IF(AND($B$7=I55,$B$6&gt;=G55,$B$6&lt;=H55),1,0))</x:f>
        <x:v>0</x:v>
      </x:c>
      <x:c r="M55" s="80" t="n">
        <x:f>J55*40+K55*20+L55*40</x:f>
        <x:v>20</x:v>
      </x:c>
      <x:c r="N55" s="80" t="n">
        <x:f>IF($B$8="",0,SUMIFS(Material_Series_Map!$C$2:$C$300,Material_Series_Map!$A$2:$A$300,$B$8,Material_Series_Map!$B$2:$B$300,C55,Material_Series_Map!$G$2:$G$300,"Verified"))</x:f>
        <x:v>0</x:v>
      </x:c>
      <x:c r="O55" s="80" t="n">
        <x:f>MIN(100,MAX(0,M55+N55))</x:f>
        <x:v>20</x:v>
      </x:c>
      <x:c r="P55" s="82" t="str">
        <x:f>IF(OR(J55=0,K55=0,L55=0),"NO MATCH",IF(O55&gt;=80,"STRONG CANDIDATE","CANDIDATE"))</x:f>
        <x:v>NO MATCH</x:v>
      </x:c>
    </x:row>
    <x:row r="56">
      <x:c r="A56" s="79" t="str">
        <x:f>Models!A47</x:f>
        <x:v>BS_ROLLER__AS250-4</x:v>
      </x:c>
      <x:c r="B56" s="80" t="str">
        <x:f>Models!D47</x:f>
        <x:v>AS250-4</x:v>
      </x:c>
      <x:c r="C56" s="80" t="str">
        <x:f>Models!C47</x:f>
        <x:v>BS_ROLLER</x:v>
      </x:c>
      <x:c r="D56" s="80" t="n">
        <x:f>Models!G47</x:f>
        <x:v>100</x:v>
      </x:c>
      <x:c r="E56" s="80" t="n">
        <x:f>Models!H47</x:f>
        <x:v>400</x:v>
      </x:c>
      <x:c r="F56" s="80" t="n">
        <x:f>Models!I47</x:f>
        <x:v>0</x:v>
      </x:c>
      <x:c r="G56" s="80" t="n">
        <x:f>Models!K47</x:f>
        <x:v>10</x:v>
      </x:c>
      <x:c r="H56" s="80" t="n">
        <x:f>Models!L47</x:f>
        <x:v>40</x:v>
      </x:c>
      <x:c r="I56" s="80" t="str">
        <x:f>Models!M47</x:f>
        <x:v>mesh</x:v>
      </x:c>
      <x:c r="J56" s="80" t="n">
        <x:f>IF(AND($B$4&gt;=D56,$B$4&lt;=E56),1,0)</x:f>
        <x:v>0</x:v>
      </x:c>
      <x:c r="K56" s="80" t="n">
        <x:f>IF($B$5="",1,IF(F56="",1,IF($B$5&lt;=F56,1,0)))</x:f>
        <x:v>1</x:v>
      </x:c>
      <x:c r="L56" s="80" t="n">
        <x:f>IF($B$6="",1,IF(AND($B$7=I56,$B$6&gt;=G56,$B$6&lt;=H56),1,0))</x:f>
        <x:v>0</x:v>
      </x:c>
      <x:c r="M56" s="80" t="n">
        <x:f>J56*40+K56*20+L56*40</x:f>
        <x:v>20</x:v>
      </x:c>
      <x:c r="N56" s="80" t="n">
        <x:f>IF($B$8="",0,SUMIFS(Material_Series_Map!$C$2:$C$300,Material_Series_Map!$A$2:$A$300,$B$8,Material_Series_Map!$B$2:$B$300,C56,Material_Series_Map!$G$2:$G$300,"Verified"))</x:f>
        <x:v>0</x:v>
      </x:c>
      <x:c r="O56" s="80" t="n">
        <x:f>MIN(100,MAX(0,M56+N56))</x:f>
        <x:v>20</x:v>
      </x:c>
      <x:c r="P56" s="82" t="str">
        <x:f>IF(OR(J56=0,K56=0,L56=0),"NO MATCH",IF(O56&gt;=80,"STRONG CANDIDATE","CANDIDATE"))</x:f>
        <x:v>NO MATCH</x:v>
      </x:c>
    </x:row>
    <x:row r="57">
      <x:c r="A57" s="79" t="str">
        <x:f>Models!A48</x:f>
        <x:v>BS_ROLLER__AS500-3</x:v>
      </x:c>
      <x:c r="B57" s="80" t="str">
        <x:f>Models!D48</x:f>
        <x:v>AS500-3</x:v>
      </x:c>
      <x:c r="C57" s="80" t="str">
        <x:f>Models!C48</x:f>
        <x:v>BS_ROLLER</x:v>
      </x:c>
      <x:c r="D57" s="80" t="n">
        <x:f>Models!G48</x:f>
        <x:v>200</x:v>
      </x:c>
      <x:c r="E57" s="80" t="n">
        <x:f>Models!H48</x:f>
        <x:v>500</x:v>
      </x:c>
      <x:c r="F57" s="80" t="n">
        <x:f>Models!I48</x:f>
        <x:v>0</x:v>
      </x:c>
      <x:c r="G57" s="80" t="n">
        <x:f>Models!K48</x:f>
        <x:v>10</x:v>
      </x:c>
      <x:c r="H57" s="80" t="n">
        <x:f>Models!L48</x:f>
        <x:v>40</x:v>
      </x:c>
      <x:c r="I57" s="80" t="str">
        <x:f>Models!M48</x:f>
        <x:v>mesh</x:v>
      </x:c>
      <x:c r="J57" s="80" t="n">
        <x:f>IF(AND($B$4&gt;=D57,$B$4&lt;=E57),1,0)</x:f>
        <x:v>0</x:v>
      </x:c>
      <x:c r="K57" s="80" t="n">
        <x:f>IF($B$5="",1,IF(F57="",1,IF($B$5&lt;=F57,1,0)))</x:f>
        <x:v>1</x:v>
      </x:c>
      <x:c r="L57" s="80" t="n">
        <x:f>IF($B$6="",1,IF(AND($B$7=I57,$B$6&gt;=G57,$B$6&lt;=H57),1,0))</x:f>
        <x:v>0</x:v>
      </x:c>
      <x:c r="M57" s="80" t="n">
        <x:f>J57*40+K57*20+L57*40</x:f>
        <x:v>20</x:v>
      </x:c>
      <x:c r="N57" s="80" t="n">
        <x:f>IF($B$8="",0,SUMIFS(Material_Series_Map!$C$2:$C$300,Material_Series_Map!$A$2:$A$300,$B$8,Material_Series_Map!$B$2:$B$300,C57,Material_Series_Map!$G$2:$G$300,"Verified"))</x:f>
        <x:v>0</x:v>
      </x:c>
      <x:c r="O57" s="80" t="n">
        <x:f>MIN(100,MAX(0,M57+N57))</x:f>
        <x:v>20</x:v>
      </x:c>
      <x:c r="P57" s="82" t="str">
        <x:f>IF(OR(J57=0,K57=0,L57=0),"NO MATCH",IF(O57&gt;=80,"STRONG CANDIDATE","CANDIDATE"))</x:f>
        <x:v>NO MATCH</x:v>
      </x:c>
    </x:row>
    <x:row r="58">
      <x:c r="A58" s="79" t="str">
        <x:f>Models!A49</x:f>
        <x:v>BS_ROLLER__AS500-4</x:v>
      </x:c>
      <x:c r="B58" s="80" t="str">
        <x:f>Models!D49</x:f>
        <x:v>AS500-4</x:v>
      </x:c>
      <x:c r="C58" s="80" t="str">
        <x:f>Models!C49</x:f>
        <x:v>BS_ROLLER</x:v>
      </x:c>
      <x:c r="D58" s="80" t="n">
        <x:f>Models!G49</x:f>
        <x:v>200</x:v>
      </x:c>
      <x:c r="E58" s="80" t="n">
        <x:f>Models!H49</x:f>
        <x:v>500</x:v>
      </x:c>
      <x:c r="F58" s="80" t="n">
        <x:f>Models!I49</x:f>
        <x:v>0</x:v>
      </x:c>
      <x:c r="G58" s="80" t="n">
        <x:f>Models!K49</x:f>
        <x:v>10</x:v>
      </x:c>
      <x:c r="H58" s="80" t="n">
        <x:f>Models!L49</x:f>
        <x:v>40</x:v>
      </x:c>
      <x:c r="I58" s="80" t="str">
        <x:f>Models!M49</x:f>
        <x:v>mesh</x:v>
      </x:c>
      <x:c r="J58" s="80" t="n">
        <x:f>IF(AND($B$4&gt;=D58,$B$4&lt;=E58),1,0)</x:f>
        <x:v>0</x:v>
      </x:c>
      <x:c r="K58" s="80" t="n">
        <x:f>IF($B$5="",1,IF(F58="",1,IF($B$5&lt;=F58,1,0)))</x:f>
        <x:v>1</x:v>
      </x:c>
      <x:c r="L58" s="80" t="n">
        <x:f>IF($B$6="",1,IF(AND($B$7=I58,$B$6&gt;=G58,$B$6&lt;=H58),1,0))</x:f>
        <x:v>0</x:v>
      </x:c>
      <x:c r="M58" s="80" t="n">
        <x:f>J58*40+K58*20+L58*40</x:f>
        <x:v>20</x:v>
      </x:c>
      <x:c r="N58" s="80" t="n">
        <x:f>IF($B$8="",0,SUMIFS(Material_Series_Map!$C$2:$C$300,Material_Series_Map!$A$2:$A$300,$B$8,Material_Series_Map!$B$2:$B$300,C58,Material_Series_Map!$G$2:$G$300,"Verified"))</x:f>
        <x:v>0</x:v>
      </x:c>
      <x:c r="O58" s="80" t="n">
        <x:f>MIN(100,MAX(0,M58+N58))</x:f>
        <x:v>20</x:v>
      </x:c>
      <x:c r="P58" s="82" t="str">
        <x:f>IF(OR(J58=0,K58=0,L58=0),"NO MATCH",IF(O58&gt;=80,"STRONG CANDIDATE","CANDIDATE"))</x:f>
        <x:v>NO MATCH</x:v>
      </x:c>
    </x:row>
    <x:row r="59">
      <x:c r="A59" s="79" t="str">
        <x:f>Models!A50</x:f>
        <x:v>BSK_JET__ASK-100</x:v>
      </x:c>
      <x:c r="B59" s="80" t="str">
        <x:f>Models!D50</x:f>
        <x:v>ASK-100</x:v>
      </x:c>
      <x:c r="C59" s="80" t="str">
        <x:f>Models!C50</x:f>
        <x:v>BSK_JET</x:v>
      </x:c>
      <x:c r="D59" s="80" t="n">
        <x:f>Models!G50</x:f>
        <x:v>0.5</x:v>
      </x:c>
      <x:c r="E59" s="80" t="n">
        <x:f>Models!H50</x:f>
        <x:v>10</x:v>
      </x:c>
      <x:c r="F59" s="80" t="n">
        <x:f>Models!I50</x:f>
        <x:v>0</x:v>
      </x:c>
      <x:c r="G59" s="80" t="n">
        <x:f>Models!K50</x:f>
        <x:v>0.5</x:v>
      </x:c>
      <x:c r="H59" s="80" t="n">
        <x:f>Models!L50</x:f>
        <x:v>30</x:v>
      </x:c>
      <x:c r="I59" s="80" t="str">
        <x:f>Models!M50</x:f>
        <x:v>µm</x:v>
      </x:c>
      <x:c r="J59" s="80" t="n">
        <x:f>IF(AND($B$4&gt;=D59,$B$4&lt;=E59),1,0)</x:f>
        <x:v>0</x:v>
      </x:c>
      <x:c r="K59" s="80" t="n">
        <x:f>IF($B$5="",1,IF(F59="",1,IF($B$5&lt;=F59,1,0)))</x:f>
        <x:v>1</x:v>
      </x:c>
      <x:c r="L59" s="80" t="n">
        <x:f>IF($B$6="",1,IF(AND($B$7=I59,$B$6&gt;=G59,$B$6&lt;=H59),1,0))</x:f>
        <x:v>0</x:v>
      </x:c>
      <x:c r="M59" s="80" t="n">
        <x:f>J59*40+K59*20+L59*40</x:f>
        <x:v>20</x:v>
      </x:c>
      <x:c r="N59" s="80" t="n">
        <x:f>IF($B$8="",0,SUMIFS(Material_Series_Map!$C$2:$C$300,Material_Series_Map!$A$2:$A$300,$B$8,Material_Series_Map!$B$2:$B$300,C59,Material_Series_Map!$G$2:$G$300,"Verified"))</x:f>
        <x:v>0</x:v>
      </x:c>
      <x:c r="O59" s="80" t="n">
        <x:f>MIN(100,MAX(0,M59+N59))</x:f>
        <x:v>20</x:v>
      </x:c>
      <x:c r="P59" s="82" t="str">
        <x:f>IF(OR(J59=0,K59=0,L59=0),"NO MATCH",IF(O59&gt;=80,"STRONG CANDIDATE","CANDIDATE"))</x:f>
        <x:v>NO MATCH</x:v>
      </x:c>
    </x:row>
    <x:row r="60">
      <x:c r="A60" s="79" t="str">
        <x:f>Models!A51</x:f>
        <x:v>BSK_JET__ASK-200</x:v>
      </x:c>
      <x:c r="B60" s="80" t="str">
        <x:f>Models!D51</x:f>
        <x:v>ASK-200</x:v>
      </x:c>
      <x:c r="C60" s="80" t="str">
        <x:f>Models!C51</x:f>
        <x:v>BSK_JET</x:v>
      </x:c>
      <x:c r="D60" s="80" t="n">
        <x:f>Models!G51</x:f>
        <x:v>10</x:v>
      </x:c>
      <x:c r="E60" s="80" t="n">
        <x:f>Models!H51</x:f>
        <x:v>100</x:v>
      </x:c>
      <x:c r="F60" s="80" t="n">
        <x:f>Models!I51</x:f>
        <x:v>0</x:v>
      </x:c>
      <x:c r="G60" s="80" t="n">
        <x:f>Models!K51</x:f>
        <x:v>0.5</x:v>
      </x:c>
      <x:c r="H60" s="80" t="n">
        <x:f>Models!L51</x:f>
        <x:v>30</x:v>
      </x:c>
      <x:c r="I60" s="80" t="str">
        <x:f>Models!M51</x:f>
        <x:v>µm</x:v>
      </x:c>
      <x:c r="J60" s="80" t="n">
        <x:f>IF(AND($B$4&gt;=D60,$B$4&lt;=E60),1,0)</x:f>
        <x:v>0</x:v>
      </x:c>
      <x:c r="K60" s="80" t="n">
        <x:f>IF($B$5="",1,IF(F60="",1,IF($B$5&lt;=F60,1,0)))</x:f>
        <x:v>1</x:v>
      </x:c>
      <x:c r="L60" s="80" t="n">
        <x:f>IF($B$6="",1,IF(AND($B$7=I60,$B$6&gt;=G60,$B$6&lt;=H60),1,0))</x:f>
        <x:v>0</x:v>
      </x:c>
      <x:c r="M60" s="80" t="n">
        <x:f>J60*40+K60*20+L60*40</x:f>
        <x:v>20</x:v>
      </x:c>
      <x:c r="N60" s="80" t="n">
        <x:f>IF($B$8="",0,SUMIFS(Material_Series_Map!$C$2:$C$300,Material_Series_Map!$A$2:$A$300,$B$8,Material_Series_Map!$B$2:$B$300,C60,Material_Series_Map!$G$2:$G$300,"Verified"))</x:f>
        <x:v>0</x:v>
      </x:c>
      <x:c r="O60" s="80" t="n">
        <x:f>MIN(100,MAX(0,M60+N60))</x:f>
        <x:v>20</x:v>
      </x:c>
      <x:c r="P60" s="82" t="str">
        <x:f>IF(OR(J60=0,K60=0,L60=0),"NO MATCH",IF(O60&gt;=80,"STRONG CANDIDATE","CANDIDATE"))</x:f>
        <x:v>NO MATCH</x:v>
      </x:c>
    </x:row>
    <x:row r="61">
      <x:c r="A61" s="79" t="str">
        <x:f>Models!A52</x:f>
        <x:v>BSK_JET__ASK-300</x:v>
      </x:c>
      <x:c r="B61" s="80" t="str">
        <x:f>Models!D52</x:f>
        <x:v>ASK-300</x:v>
      </x:c>
      <x:c r="C61" s="80" t="str">
        <x:f>Models!C52</x:f>
        <x:v>BSK_JET</x:v>
      </x:c>
      <x:c r="D61" s="80" t="n">
        <x:f>Models!G52</x:f>
        <x:v>80</x:v>
      </x:c>
      <x:c r="E61" s="80" t="n">
        <x:f>Models!H52</x:f>
        <x:v>200</x:v>
      </x:c>
      <x:c r="F61" s="80" t="n">
        <x:f>Models!I52</x:f>
        <x:v>0</x:v>
      </x:c>
      <x:c r="G61" s="80" t="n">
        <x:f>Models!K52</x:f>
        <x:v>0.5</x:v>
      </x:c>
      <x:c r="H61" s="80" t="n">
        <x:f>Models!L52</x:f>
        <x:v>30</x:v>
      </x:c>
      <x:c r="I61" s="80" t="str">
        <x:f>Models!M52</x:f>
        <x:v>µm</x:v>
      </x:c>
      <x:c r="J61" s="80" t="n">
        <x:f>IF(AND($B$4&gt;=D61,$B$4&lt;=E61),1,0)</x:f>
        <x:v>0</x:v>
      </x:c>
      <x:c r="K61" s="80" t="n">
        <x:f>IF($B$5="",1,IF(F61="",1,IF($B$5&lt;=F61,1,0)))</x:f>
        <x:v>1</x:v>
      </x:c>
      <x:c r="L61" s="80" t="n">
        <x:f>IF($B$6="",1,IF(AND($B$7=I61,$B$6&gt;=G61,$B$6&lt;=H61),1,0))</x:f>
        <x:v>0</x:v>
      </x:c>
      <x:c r="M61" s="80" t="n">
        <x:f>J61*40+K61*20+L61*40</x:f>
        <x:v>20</x:v>
      </x:c>
      <x:c r="N61" s="80" t="n">
        <x:f>IF($B$8="",0,SUMIFS(Material_Series_Map!$C$2:$C$300,Material_Series_Map!$A$2:$A$300,$B$8,Material_Series_Map!$B$2:$B$300,C61,Material_Series_Map!$G$2:$G$300,"Verified"))</x:f>
        <x:v>0</x:v>
      </x:c>
      <x:c r="O61" s="80" t="n">
        <x:f>MIN(100,MAX(0,M61+N61))</x:f>
        <x:v>20</x:v>
      </x:c>
      <x:c r="P61" s="82" t="str">
        <x:f>IF(OR(J61=0,K61=0,L61=0),"NO MATCH",IF(O61&gt;=80,"STRONG CANDIDATE","CANDIDATE"))</x:f>
        <x:v>NO MATCH</x:v>
      </x:c>
    </x:row>
    <x:row r="62">
      <x:c r="A62" s="79" t="str">
        <x:f>Models!A53</x:f>
        <x:v>BSK_JET__ASK-400</x:v>
      </x:c>
      <x:c r="B62" s="80" t="str">
        <x:f>Models!D53</x:f>
        <x:v>ASK-400</x:v>
      </x:c>
      <x:c r="C62" s="80" t="str">
        <x:f>Models!C53</x:f>
        <x:v>BSK_JET</x:v>
      </x:c>
      <x:c r="D62" s="80" t="n">
        <x:f>Models!G53</x:f>
        <x:v>100</x:v>
      </x:c>
      <x:c r="E62" s="80" t="n">
        <x:f>Models!H53</x:f>
        <x:v>500</x:v>
      </x:c>
      <x:c r="F62" s="80" t="n">
        <x:f>Models!I53</x:f>
        <x:v>0</x:v>
      </x:c>
      <x:c r="G62" s="80" t="n">
        <x:f>Models!K53</x:f>
        <x:v>0.5</x:v>
      </x:c>
      <x:c r="H62" s="80" t="n">
        <x:f>Models!L53</x:f>
        <x:v>30</x:v>
      </x:c>
      <x:c r="I62" s="80" t="str">
        <x:f>Models!M53</x:f>
        <x:v>µm</x:v>
      </x:c>
      <x:c r="J62" s="80" t="n">
        <x:f>IF(AND($B$4&gt;=D62,$B$4&lt;=E62),1,0)</x:f>
        <x:v>0</x:v>
      </x:c>
      <x:c r="K62" s="80" t="n">
        <x:f>IF($B$5="",1,IF(F62="",1,IF($B$5&lt;=F62,1,0)))</x:f>
        <x:v>1</x:v>
      </x:c>
      <x:c r="L62" s="80" t="n">
        <x:f>IF($B$6="",1,IF(AND($B$7=I62,$B$6&gt;=G62,$B$6&lt;=H62),1,0))</x:f>
        <x:v>0</x:v>
      </x:c>
      <x:c r="M62" s="80" t="n">
        <x:f>J62*40+K62*20+L62*40</x:f>
        <x:v>20</x:v>
      </x:c>
      <x:c r="N62" s="80" t="n">
        <x:f>IF($B$8="",0,SUMIFS(Material_Series_Map!$C$2:$C$300,Material_Series_Map!$A$2:$A$300,$B$8,Material_Series_Map!$B$2:$B$300,C62,Material_Series_Map!$G$2:$G$300,"Verified"))</x:f>
        <x:v>0</x:v>
      </x:c>
      <x:c r="O62" s="80" t="n">
        <x:f>MIN(100,MAX(0,M62+N62))</x:f>
        <x:v>20</x:v>
      </x:c>
      <x:c r="P62" s="82" t="str">
        <x:f>IF(OR(J62=0,K62=0,L62=0),"NO MATCH",IF(O62&gt;=80,"STRONG CANDIDATE","CANDIDATE"))</x:f>
        <x:v>NO MATCH</x:v>
      </x:c>
    </x:row>
    <x:row r="63">
      <x:c r="A63" s="79" t="str">
        <x:f>Models!A54</x:f>
        <x:v>BSK_JET__ASK-600</x:v>
      </x:c>
      <x:c r="B63" s="80" t="str">
        <x:f>Models!D54</x:f>
        <x:v>ASK-600</x:v>
      </x:c>
      <x:c r="C63" s="80" t="str">
        <x:f>Models!C54</x:f>
        <x:v>BSK_JET</x:v>
      </x:c>
      <x:c r="D63" s="80" t="n">
        <x:f>Models!G54</x:f>
        <x:v>200</x:v>
      </x:c>
      <x:c r="E63" s="80" t="n">
        <x:f>Models!H54</x:f>
        <x:v>700</x:v>
      </x:c>
      <x:c r="F63" s="80" t="n">
        <x:f>Models!I54</x:f>
        <x:v>0</x:v>
      </x:c>
      <x:c r="G63" s="80" t="n">
        <x:f>Models!K54</x:f>
        <x:v>0.5</x:v>
      </x:c>
      <x:c r="H63" s="80" t="n">
        <x:f>Models!L54</x:f>
        <x:v>30</x:v>
      </x:c>
      <x:c r="I63" s="80" t="str">
        <x:f>Models!M54</x:f>
        <x:v>µm</x:v>
      </x:c>
      <x:c r="J63" s="80" t="n">
        <x:f>IF(AND($B$4&gt;=D63,$B$4&lt;=E63),1,0)</x:f>
        <x:v>0</x:v>
      </x:c>
      <x:c r="K63" s="80" t="n">
        <x:f>IF($B$5="",1,IF(F63="",1,IF($B$5&lt;=F63,1,0)))</x:f>
        <x:v>1</x:v>
      </x:c>
      <x:c r="L63" s="80" t="n">
        <x:f>IF($B$6="",1,IF(AND($B$7=I63,$B$6&gt;=G63,$B$6&lt;=H63),1,0))</x:f>
        <x:v>0</x:v>
      </x:c>
      <x:c r="M63" s="80" t="n">
        <x:f>J63*40+K63*20+L63*40</x:f>
        <x:v>20</x:v>
      </x:c>
      <x:c r="N63" s="80" t="n">
        <x:f>IF($B$8="",0,SUMIFS(Material_Series_Map!$C$2:$C$300,Material_Series_Map!$A$2:$A$300,$B$8,Material_Series_Map!$B$2:$B$300,C63,Material_Series_Map!$G$2:$G$300,"Verified"))</x:f>
        <x:v>0</x:v>
      </x:c>
      <x:c r="O63" s="80" t="n">
        <x:f>MIN(100,MAX(0,M63+N63))</x:f>
        <x:v>20</x:v>
      </x:c>
      <x:c r="P63" s="82" t="str">
        <x:f>IF(OR(J63=0,K63=0,L63=0),"NO MATCH",IF(O63&gt;=80,"STRONG CANDIDATE","CANDIDATE"))</x:f>
        <x:v>NO MATCH</x:v>
      </x:c>
    </x:row>
    <x:row r="64">
      <x:c r="A64" s="79" t="str">
        <x:f>Models!A55</x:f>
        <x:v>BSK_JET__ASK-800</x:v>
      </x:c>
      <x:c r="B64" s="80" t="str">
        <x:f>Models!D55</x:f>
        <x:v>ASK-800</x:v>
      </x:c>
      <x:c r="C64" s="80" t="str">
        <x:f>Models!C55</x:f>
        <x:v>BSK_JET</x:v>
      </x:c>
      <x:c r="D64" s="80" t="n">
        <x:f>Models!G55</x:f>
        <x:v>400</x:v>
      </x:c>
      <x:c r="E64" s="80" t="n">
        <x:f>Models!H55</x:f>
        <x:v>1500</x:v>
      </x:c>
      <x:c r="F64" s="80" t="n">
        <x:f>Models!I55</x:f>
        <x:v>0</x:v>
      </x:c>
      <x:c r="G64" s="80" t="n">
        <x:f>Models!K55</x:f>
        <x:v>0.5</x:v>
      </x:c>
      <x:c r="H64" s="80" t="n">
        <x:f>Models!L55</x:f>
        <x:v>30</x:v>
      </x:c>
      <x:c r="I64" s="80" t="str">
        <x:f>Models!M55</x:f>
        <x:v>µm</x:v>
      </x:c>
      <x:c r="J64" s="80" t="n">
        <x:f>IF(AND($B$4&gt;=D64,$B$4&lt;=E64),1,0)</x:f>
        <x:v>1</x:v>
      </x:c>
      <x:c r="K64" s="80" t="n">
        <x:f>IF($B$5="",1,IF(F64="",1,IF($B$5&lt;=F64,1,0)))</x:f>
        <x:v>1</x:v>
      </x:c>
      <x:c r="L64" s="80" t="n">
        <x:f>IF($B$6="",1,IF(AND($B$7=I64,$B$6&gt;=G64,$B$6&lt;=H64),1,0))</x:f>
        <x:v>0</x:v>
      </x:c>
      <x:c r="M64" s="80" t="n">
        <x:f>J64*40+K64*20+L64*40</x:f>
        <x:v>60</x:v>
      </x:c>
      <x:c r="N64" s="80" t="n">
        <x:f>IF($B$8="",0,SUMIFS(Material_Series_Map!$C$2:$C$300,Material_Series_Map!$A$2:$A$300,$B$8,Material_Series_Map!$B$2:$B$300,C64,Material_Series_Map!$G$2:$G$300,"Verified"))</x:f>
        <x:v>0</x:v>
      </x:c>
      <x:c r="O64" s="80" t="n">
        <x:f>MIN(100,MAX(0,M64+N64))</x:f>
        <x:v>60</x:v>
      </x:c>
      <x:c r="P64" s="82" t="str">
        <x:f>IF(OR(J64=0,K64=0,L64=0),"NO MATCH",IF(O64&gt;=80,"STRONG CANDIDATE","CANDIDATE"))</x:f>
        <x:v>NO MATCH</x:v>
      </x:c>
    </x:row>
    <x:row r="65">
      <x:c r="A65" s="79" t="str">
        <x:f>Models!A56</x:f>
        <x:v>BS_CRYOGENIC__AS-200</x:v>
      </x:c>
      <x:c r="B65" s="80" t="str">
        <x:f>Models!D56</x:f>
        <x:v>AS-200</x:v>
      </x:c>
      <x:c r="C65" s="80" t="str">
        <x:f>Models!C56</x:f>
        <x:v>BS_CRYOGENIC</x:v>
      </x:c>
      <x:c r="D65" s="80" t="n">
        <x:f>Models!G56</x:f>
        <x:v>30</x:v>
      </x:c>
      <x:c r="E65" s="80" t="n">
        <x:f>Models!H56</x:f>
        <x:v>150</x:v>
      </x:c>
      <x:c r="F65" s="80" t="n">
        <x:f>Models!I56</x:f>
        <x:v>15</x:v>
      </x:c>
      <x:c r="G65" s="80" t="n">
        <x:f>Models!K56</x:f>
        <x:v>10</x:v>
      </x:c>
      <x:c r="H65" s="80" t="n">
        <x:f>Models!L56</x:f>
        <x:v>700</x:v>
      </x:c>
      <x:c r="I65" s="80" t="str">
        <x:f>Models!M56</x:f>
        <x:v>mesh</x:v>
      </x:c>
      <x:c r="J65" s="80" t="n">
        <x:f>IF(AND($B$4&gt;=D65,$B$4&lt;=E65),1,0)</x:f>
        <x:v>0</x:v>
      </x:c>
      <x:c r="K65" s="80" t="n">
        <x:f>IF($B$5="",1,IF(F65="",1,IF($B$5&lt;=F65,1,0)))</x:f>
        <x:v>1</x:v>
      </x:c>
      <x:c r="L65" s="80" t="n">
        <x:f>IF($B$6="",1,IF(AND($B$7=I65,$B$6&gt;=G65,$B$6&lt;=H65),1,0))</x:f>
        <x:v>1</x:v>
      </x:c>
      <x:c r="M65" s="80" t="n">
        <x:f>J65*40+K65*20+L65*40</x:f>
        <x:v>60</x:v>
      </x:c>
      <x:c r="N65" s="80" t="n">
        <x:f>IF($B$8="",0,SUMIFS(Material_Series_Map!$C$2:$C$300,Material_Series_Map!$A$2:$A$300,$B$8,Material_Series_Map!$B$2:$B$300,C65,Material_Series_Map!$G$2:$G$300,"Verified"))</x:f>
        <x:v>0</x:v>
      </x:c>
      <x:c r="O65" s="80" t="n">
        <x:f>MIN(100,MAX(0,M65+N65))</x:f>
        <x:v>60</x:v>
      </x:c>
      <x:c r="P65" s="82" t="str">
        <x:f>IF(OR(J65=0,K65=0,L65=0),"NO MATCH",IF(O65&gt;=80,"STRONG CANDIDATE","CANDIDATE"))</x:f>
        <x:v>NO MATCH</x:v>
      </x:c>
    </x:row>
    <x:row r="66">
      <x:c r="A66" s="79" t="str">
        <x:f>Models!A57</x:f>
        <x:v>BS_CRYOGENIC__AS-400</x:v>
      </x:c>
      <x:c r="B66" s="80" t="str">
        <x:f>Models!D57</x:f>
        <x:v>AS-400</x:v>
      </x:c>
      <x:c r="C66" s="80" t="str">
        <x:f>Models!C57</x:f>
        <x:v>BS_CRYOGENIC</x:v>
      </x:c>
      <x:c r="D66" s="80" t="n">
        <x:f>Models!G57</x:f>
        <x:v>80</x:v>
      </x:c>
      <x:c r="E66" s="80" t="n">
        <x:f>Models!H57</x:f>
        <x:v>150</x:v>
      </x:c>
      <x:c r="F66" s="80" t="n">
        <x:f>Models!I57</x:f>
        <x:v>15</x:v>
      </x:c>
      <x:c r="G66" s="80" t="n">
        <x:f>Models!K57</x:f>
        <x:v>10</x:v>
      </x:c>
      <x:c r="H66" s="80" t="n">
        <x:f>Models!L57</x:f>
        <x:v>700</x:v>
      </x:c>
      <x:c r="I66" s="80" t="str">
        <x:f>Models!M57</x:f>
        <x:v>mesh</x:v>
      </x:c>
      <x:c r="J66" s="80" t="n">
        <x:f>IF(AND($B$4&gt;=D66,$B$4&lt;=E66),1,0)</x:f>
        <x:v>0</x:v>
      </x:c>
      <x:c r="K66" s="80" t="n">
        <x:f>IF($B$5="",1,IF(F66="",1,IF($B$5&lt;=F66,1,0)))</x:f>
        <x:v>1</x:v>
      </x:c>
      <x:c r="L66" s="80" t="n">
        <x:f>IF($B$6="",1,IF(AND($B$7=I66,$B$6&gt;=G66,$B$6&lt;=H66),1,0))</x:f>
        <x:v>1</x:v>
      </x:c>
      <x:c r="M66" s="80" t="n">
        <x:f>J66*40+K66*20+L66*40</x:f>
        <x:v>60</x:v>
      </x:c>
      <x:c r="N66" s="80" t="n">
        <x:f>IF($B$8="",0,SUMIFS(Material_Series_Map!$C$2:$C$300,Material_Series_Map!$A$2:$A$300,$B$8,Material_Series_Map!$B$2:$B$300,C66,Material_Series_Map!$G$2:$G$300,"Verified"))</x:f>
        <x:v>0</x:v>
      </x:c>
      <x:c r="O66" s="80" t="n">
        <x:f>MIN(100,MAX(0,M66+N66))</x:f>
        <x:v>60</x:v>
      </x:c>
      <x:c r="P66" s="82" t="str">
        <x:f>IF(OR(J66=0,K66=0,L66=0),"NO MATCH",IF(O66&gt;=80,"STRONG CANDIDATE","CANDIDATE"))</x:f>
        <x:v>NO MATCH</x:v>
      </x:c>
    </x:row>
    <x:row r="67">
      <x:c r="A67" s="83" t="str">
        <x:f>Models!A58</x:f>
        <x:v>BS_CRYOGENIC__AS-500</x:v>
      </x:c>
      <x:c r="B67" s="84" t="str">
        <x:f>Models!D58</x:f>
        <x:v>AS-500</x:v>
      </x:c>
      <x:c r="C67" s="84" t="str">
        <x:f>Models!C58</x:f>
        <x:v>BS_CRYOGENIC</x:v>
      </x:c>
      <x:c r="D67" s="84" t="n">
        <x:f>Models!G58</x:f>
        <x:v>100</x:v>
      </x:c>
      <x:c r="E67" s="84" t="n">
        <x:f>Models!H58</x:f>
        <x:v>150</x:v>
      </x:c>
      <x:c r="F67" s="84" t="n">
        <x:f>Models!I58</x:f>
        <x:v>15</x:v>
      </x:c>
      <x:c r="G67" s="84" t="n">
        <x:f>Models!K58</x:f>
        <x:v>10</x:v>
      </x:c>
      <x:c r="H67" s="84" t="n">
        <x:f>Models!L58</x:f>
        <x:v>700</x:v>
      </x:c>
      <x:c r="I67" s="84" t="str">
        <x:f>Models!M58</x:f>
        <x:v>mesh</x:v>
      </x:c>
      <x:c r="J67" s="84" t="n">
        <x:f>IF(AND($B$4&gt;=D67,$B$4&lt;=E67),1,0)</x:f>
        <x:v>0</x:v>
      </x:c>
      <x:c r="K67" s="84" t="n">
        <x:f>IF($B$5="",1,IF(F67="",1,IF($B$5&lt;=F67,1,0)))</x:f>
        <x:v>1</x:v>
      </x:c>
      <x:c r="L67" s="84" t="n">
        <x:f>IF($B$6="",1,IF(AND($B$7=I67,$B$6&gt;=G67,$B$6&lt;=H67),1,0))</x:f>
        <x:v>1</x:v>
      </x:c>
      <x:c r="M67" s="84" t="n">
        <x:f>J67*40+K67*20+L67*40</x:f>
        <x:v>60</x:v>
      </x:c>
      <x:c r="N67" s="84" t="n">
        <x:f>IF($B$8="",0,SUMIFS(Material_Series_Map!$C$2:$C$300,Material_Series_Map!$A$2:$A$300,$B$8,Material_Series_Map!$B$2:$B$300,C67,Material_Series_Map!$G$2:$G$300,"Verified"))</x:f>
        <x:v>0</x:v>
      </x:c>
      <x:c r="O67" s="84" t="n">
        <x:f>MIN(100,MAX(0,M67+N67))</x:f>
        <x:v>60</x:v>
      </x:c>
      <x:c r="P67" s="85" t="str">
        <x:f>IF(OR(J67=0,K67=0,L67=0),"NO MATCH",IF(O67&gt;=80,"STRONG CANDIDATE","CANDIDATE"))</x:f>
        <x:v>NO MATCH</x:v>
      </x:c>
    </x:row>
  </x:sheetData>
  <x:mergeCells>
    <x:mergeCell ref="A1:H1"/>
    <x:mergeCell ref="A9:P9"/>
  </x:mergeCells>
  <x:conditionalFormatting sqref="O11:O67">
    <x:cfRule type="colorScale" priority="1">
      <x:colorScale>
        <x:cfvo type="min"/>
        <x:cfvo type="percentile" val="50"/>
        <x:cfvo type="max"/>
        <x:color rgb="FFFEE2E2"/>
        <x:color rgb="FFFEF3C7"/>
        <x:color rgb="FFDCFCE7"/>
      </x:colorScale>
    </x:cfRule>
  </x:conditionalFormatting>
  <x:conditionalFormatting sqref="P11:P67">
    <x:cfRule type="expression" dxfId="2" priority="2">
      <x:formula>P11="STRONG CANDIDATE"</x:formula>
    </x:cfRule>
    <x:cfRule type="expression" dxfId="3" priority="3">
      <x:formula>P11="NO MATCH"</x:formula>
    </x:cfRule>
  </x:conditionalFormatting>
  <x:dataValidations count="2">
    <x:dataValidation type="list" sqref="B7">
      <x:formula1>"mesh,µm,mm"</x:formula1>
    </x:dataValidation>
    <x:dataValidation type="list" sqref="B8">
      <x:formula1>"SESAME,PEANUT,ALMOND,SPICE_POWDER,CACAO,FRUIT,VEGETABLE,HERB,MEDICINE,PLASTIC,RUBBER,PEPPER,TEA,SUGAR"</x:formula1>
    </x:dataValidation>
  </x:dataValidations>
  <x:pageMargins left="0.7" right="0.7" top="0.75" bottom="0.75" header="0.3" footer="0.3"/>
  <x:tableParts count="1">
    <x:tablePart xmlns:r="http://schemas.openxmlformats.org/officeDocument/2006/relationships" r:id="R7c6a49247eea44d5"/>
  </x:tableParts>
</x:worksheet>
</file>