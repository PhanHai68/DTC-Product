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Types>
</file>

<file path=_rels/.rels><?xml version="1.0" encoding="utf-8"?><Relationships xmlns="http://schemas.openxmlformats.org/package/2006/relationships"><Relationship Type="http://schemas.openxmlformats.org/officeDocument/2006/relationships/officeDocument" Target="/xl/workbook.xml" Id="R70345b7b2a4d494b" /></Relationships>
</file>

<file path=xl/workbook.xml><?xml version="1.0" encoding="utf-8"?>
<workbook xmlns="http://schemas.openxmlformats.org/spreadsheetml/2006/main">
  <sheets>
    <sheet xmlns:r="http://schemas.openxmlformats.org/officeDocument/2006/relationships" name="README" sheetId="1" r:id="Re5f0532521004049"/>
    <sheet xmlns:r="http://schemas.openxmlformats.org/officeDocument/2006/relationships" name="Series" sheetId="2" r:id="Rd2c52754a4ac46a9"/>
    <sheet xmlns:r="http://schemas.openxmlformats.org/officeDocument/2006/relationships" name="Models" sheetId="3" r:id="R3d15cd77e8984c46"/>
    <sheet xmlns:r="http://schemas.openxmlformats.org/officeDocument/2006/relationships" name="Extra_Specs" sheetId="4" r:id="Rf7b5fbde68fa4443"/>
    <sheet xmlns:r="http://schemas.openxmlformats.org/officeDocument/2006/relationships" name="Selection_Tags" sheetId="5" r:id="R37f70c7cf945417e"/>
    <sheet xmlns:r="http://schemas.openxmlformats.org/officeDocument/2006/relationships" name="Corrections" sheetId="6" r:id="R5cdd8da55e174dc5"/>
    <sheet xmlns:r="http://schemas.openxmlformats.org/officeDocument/2006/relationships" name="Field_Guide" sheetId="7" r:id="Rba5e0ea5f2024ed3"/>
    <sheet xmlns:r="http://schemas.openxmlformats.org/officeDocument/2006/relationships" name="Update_Log" sheetId="8" r:id="Ra3d890b039d14b24"/>
    <sheet xmlns:r="http://schemas.openxmlformats.org/officeDocument/2006/relationships" name="Lists" sheetId="9" r:id="Rf7f8f44c4e114950"/>
    <sheet xmlns:r="http://schemas.openxmlformats.org/officeDocument/2006/relationships" name="Materials" sheetId="10" r:id="R002be46197e84301"/>
    <sheet xmlns:r="http://schemas.openxmlformats.org/officeDocument/2006/relationships" name="Material_Series_Map" sheetId="11" r:id="Rbb4ce21e98a54f56"/>
    <sheet xmlns:r="http://schemas.openxmlformats.org/officeDocument/2006/relationships" name="AI_Config" sheetId="12" r:id="R61a097afd37c4bbc"/>
    <sheet xmlns:r="http://schemas.openxmlformats.org/officeDocument/2006/relationships" name="Selection_Rules" sheetId="13" r:id="R8d9653147acd4b14"/>
    <sheet xmlns:r="http://schemas.openxmlformats.org/officeDocument/2006/relationships" name="AI_Field_Map" sheetId="14" r:id="R6cb7ee72d5b04bb8"/>
    <sheet xmlns:r="http://schemas.openxmlformats.org/officeDocument/2006/relationships" name="AI_Intents" sheetId="15" r:id="R3e131a0156fb4995"/>
    <sheet xmlns:r="http://schemas.openxmlformats.org/officeDocument/2006/relationships" name="AI_Prompt" sheetId="16" r:id="Rcf6c4a48a7e54977"/>
    <sheet xmlns:r="http://schemas.openxmlformats.org/officeDocument/2006/relationships" name="Chat_Examples" sheetId="17" r:id="R392ebc86375649fd"/>
    <sheet xmlns:r="http://schemas.openxmlformats.org/officeDocument/2006/relationships" name="AI_Selection_Test" sheetId="18" r:id="R3302837f01204a63"/>
  </sheets>
</workbook>
</file>

<file path=xl/sharedStrings.xml><?xml version="1.0" encoding="utf-8"?>
<sst xmlns="http://schemas.openxmlformats.org/spreadsheetml/2006/main" count="2843" uniqueCount="825">
  <si>
    <t xml:space="preserve">DTC PRODUCT – GRINDING MACHINE DATABASE (A-SERIES)</t>
  </si>
  <si>
    <t xml:space="preserve">Quy ước tên model mới: chỉ đổi chữ cái đầu tiên B → A. Ví dụ BSC-200 → ASC-200, BSP-500 → ASP-500, BS-200 → AS-200.</t>
  </si>
  <si>
    <t xml:space="preserve">Thông tin</t>
  </si>
  <si>
    <t xml:space="preserve">Giá trị</t>
  </si>
  <si>
    <t xml:space="preserve">Database version</t>
  </si>
  <si>
    <t xml:space="preserve">2.2.3</t>
  </si>
  <si>
    <t xml:space="preserve">Nguồn dữ liệu</t>
  </si>
  <si>
    <t xml:space="preserve">DTC-C-MayNghien-250426-demo4.pdf</t>
  </si>
  <si>
    <t xml:space="preserve">Phạm vi</t>
  </si>
  <si>
    <t xml:space="preserve">Chỉ phần MÁY NGHIỀN BỘT, PDF pages 5-20</t>
  </si>
  <si>
    <t xml:space="preserve">Số dòng máy</t>
  </si>
  <si>
    <t xml:space="preserve">Số model</t>
  </si>
  <si>
    <t xml:space="preserve">AI READY – Các sheet mới</t>
  </si>
  <si>
    <t xml:space="preserve">Materials</t>
  </si>
  <si>
    <t xml:space="preserve">Danh mục nguyên liệu + thuộc tính. Chỉ trường có nguồn xác minh mới nên dùng để tự động chọn máy.</t>
  </si>
  <si>
    <t xml:space="preserve">Material_Series_Map</t>
  </si>
  <si>
    <t xml:space="preserve">Điểm cộng/trừ theo tương thích nguyên liệu và dòng máy.</t>
  </si>
  <si>
    <t xml:space="preserve">AI_Config</t>
  </si>
  <si>
    <t xml:space="preserve">Trọng số, guardrail và tùy chọn hội thoại.</t>
  </si>
  <si>
    <t xml:space="preserve">Selection_Rules</t>
  </si>
  <si>
    <t xml:space="preserve">Quy tắc lọc kỹ thuật và cảnh báo.</t>
  </si>
  <si>
    <t xml:space="preserve">AI_Field_Map</t>
  </si>
  <si>
    <t xml:space="preserve">Map câu chat tiếng Việt thành trường dữ liệu chuẩn.</t>
  </si>
  <si>
    <t xml:space="preserve">AI_Intents</t>
  </si>
  <si>
    <t xml:space="preserve">Các loại yêu cầu chatbot cần nhận diện.</t>
  </si>
  <si>
    <t xml:space="preserve">AI_Prompt</t>
  </si>
  <si>
    <t xml:space="preserve">Prompt/guardrail dùng cho trợ lý AI.</t>
  </si>
  <si>
    <t xml:space="preserve">Chat_Examples</t>
  </si>
  <si>
    <t xml:space="preserve">Ví dụ câu hỏi và structured query.</t>
  </si>
  <si>
    <t xml:space="preserve">AI_Selection_Test</t>
  </si>
  <si>
    <t xml:space="preserve">Sheet test bộ chọn model trước khi code vào app.</t>
  </si>
  <si>
    <t xml:space="preserve">series_code</t>
  </si>
  <si>
    <t xml:space="preserve">display_code</t>
  </si>
  <si>
    <t xml:space="preserve">name_vi</t>
  </si>
  <si>
    <t xml:space="preserve">name_en</t>
  </si>
  <si>
    <t xml:space="preserve">technology</t>
  </si>
  <si>
    <t xml:space="preserve">pdf_pages</t>
  </si>
  <si>
    <t xml:space="preserve">application_vi</t>
  </si>
  <si>
    <t xml:space="preserve">working_principle_vi</t>
  </si>
  <si>
    <t xml:space="preserve">notes</t>
  </si>
  <si>
    <t xml:space="preserve">ASC_COARSE</t>
  </si>
  <si>
    <t xml:space="preserve">ASC</t>
  </si>
  <si>
    <t xml:space="preserve">Máy nghiền thô thực phẩm</t>
  </si>
  <si>
    <t xml:space="preserve">Foodstuff Industry Chili Powder Machine</t>
  </si>
  <si>
    <t xml:space="preserve">coarse_crusher</t>
  </si>
  <si>
    <t xml:space="preserve">5</t>
  </si>
  <si>
    <t xml:space="preserve">Được sử dụng rộng rãi trong các ngành:
- Thực phẩm
- Dược phẩm
- Hóa chất
Máy phù hợp để nghiền sơ bộ nguyên liệu khô và giòn, tức là biến các miếng nguyên liệu lớn thành hạt nhỏ trước khi đưa sang công đoạn nghiền mịn tiếp theo.
Ví dụ nguyên liệu:
- Ớt khô
- Gừng khô
- Tiêu
- Quế
- Cam thảo
- Các loại dược liệu khô
Máy không phù hợp với nguyên liệu có điểm hóa mềm thấp hoặc độ nhớt cao.</t>
  </si>
  <si>
    <t xml:space="preserve">ASC là dạng máy nghiền/cắt thô kiểu ngang.
Nguyên liệu được đưa vào phễu cấp liệu, sau đó đi vào buồng nghiền. Bên trong buồng, các dao quay cắt và nghiền nguyên liệu thành kích thước nhỏ hơn.
Nhờ lực ly tâm tạo ra khi dao quay, nguyên liệu sau khi đạt kích thước yêu cầu sẽ di chuyển về cửa xả.
Kích thước thành phẩm được kiểm soát bằng lưới sàng. Dao nghiền được chế tạo từ thép hợp kim chịu mài mòn.</t>
  </si>
  <si>
    <t xml:space="preserve">Dùng làm nghiền sơ cấp.</t>
  </si>
  <si>
    <t xml:space="preserve">AS_SMALL_HAMMER</t>
  </si>
  <si>
    <t xml:space="preserve">AS</t>
  </si>
  <si>
    <t xml:space="preserve">Máy nghiền búa cỡ nhỏ</t>
  </si>
  <si>
    <t xml:space="preserve">AS Series Small Hammer Mill</t>
  </si>
  <si>
    <t xml:space="preserve">high_speed_hammer</t>
  </si>
  <si>
    <t xml:space="preserve">6</t>
  </si>
  <si>
    <t xml:space="preserve">Sử dụng rộng rãi trong thực phẩm, hóa chất, dược phẩm và các ngành công nghiệp khác. Cấu trúc đơn giản, nhỏ gọn, dễ lắp đặt và sử dụng. Có thể tùy chỉnh lưỡi dao phù hợp nguyên liệu và yêu cầu kích thước bột.</t>
  </si>
  <si>
    <t xml:space="preserve">Nguyên liệu được cắt nhỏ bằng lưỡi dao quay tốc độ cao trong buồng nghiền. Độ mịn được điều chỉnh bằng cách thay đổi lưới lọc. Lưỡi dao phù hợp với nguyên liệu giàu xơ hoặc nguyên liệu thô cứng.</t>
  </si>
  <si>
    <t xml:space="preserve">Có lưỡi dao dạng búa và dạng cắt.</t>
  </si>
  <si>
    <t xml:space="preserve">ASU_UNIVERSAL</t>
  </si>
  <si>
    <t xml:space="preserve">ASU</t>
  </si>
  <si>
    <t xml:space="preserve">Máy nghiền tua-bin tốc độ cao</t>
  </si>
  <si>
    <t xml:space="preserve">High Speed Turbine Grinder Dried Jerusalem artichoke chips Grinding Machine</t>
  </si>
  <si>
    <t xml:space="preserve">universal_mill</t>
  </si>
  <si>
    <t xml:space="preserve">7-8</t>
  </si>
  <si>
    <t xml:space="preserve">Ứng dụng rộng trong thực phẩm, hóa chất, thức ăn chăn nuôi và dược phẩm. Kích thước bột có thể điều chỉnh bằng loại lưỡi dao, tốc độ rotor và lưới lọc.</t>
  </si>
  <si>
    <t xml:space="preserve">Máy ASU sử dụng đĩa tua-bin quay tốc độ cao tạo luồng khí tuần hoàn mạnh trong buồng nghiền. Luồng khí giúp tản nhiệt do ma sát, nhờ đó hạn chế tăng nhiệt khi nghiền các nguyên liệu nhạy nhiệt như rau củ sấy, gia vị.
Hệ thống luồng khí đồng thời tạo vận chuyển bằng áp suất âm, giúp nguyên liệu đi qua máy ổn định, giảm hiện tượng bám dính và tắc lưới. Thiết kế này phù hợp với quá trình nghiền liên tục.</t>
  </si>
  <si>
    <t xml:space="preserve">Phiên bản máy đơn.</t>
  </si>
  <si>
    <t xml:space="preserve">ASG_UNIVERSAL_SYSTEM</t>
  </si>
  <si>
    <t xml:space="preserve">ASG</t>
  </si>
  <si>
    <t xml:space="preserve">Máy nghiền búa tự hút</t>
  </si>
  <si>
    <t xml:space="preserve">Self-Suction Hammer Mill System</t>
  </si>
  <si>
    <t xml:space="preserve">universal_mill_with_dust_system</t>
  </si>
  <si>
    <t xml:space="preserve">Ứng dụng rộng trong thực phẩm, hóa chất, thức ăn chăn nuôi và dược phẩm. Máy nghiền tích hợp hệ thống gió/thu bụi dạng lốc xoáy.</t>
  </si>
  <si>
    <t xml:space="preserve">Nguyên lý nghiền
Nguyên liệu đi từ phễu cấp liệu vào buồng nghiền.
Bên trong máy, đĩa nghiền/búa quay với tốc độ cao làm nguyên liệu bị:
Va đập → văng vào vành răng cố định → cắt → va đập lại → nghiền nhỏ
Trang mô tả quá trình nghiền là sự kết hợp của:
- lực va đập,
- lực cắt,
- lực nghiền/chà xát.
Sau khi được nghiền nhỏ, nhờ áp suất âm do quạt hút tạo ra, bột được hút ra khỏi buồng nghiền và chuyển qua:
Buồng nghiền → lưới sàng → đường ống → cyclone → thu sản phẩm
Một lượng nhỏ bụi rất mịn sẽ được pulse dust collector thu hồi.
Chức năng phân loại kích thước
- chức năng nghiền.
- phân loại.
- sàng.
- cắt ly tâm.
Nhờ vậy kích thước hạt thành phẩm có thể được kiểm soát.
Tuy nhiên, với ASG này, việc kiểm soát kích thước vẫn phụ thuộc đáng kể vào lưới sàng, khác với ASP Air Classifier Mill sử dụng bánh phân cấp tốc độ cao.</t>
  </si>
  <si>
    <t xml:space="preserve">Kèm hệ thống gió khử bụi.</t>
  </si>
  <si>
    <t xml:space="preserve">ASP_ULTRAFINE</t>
  </si>
  <si>
    <t xml:space="preserve">ASP</t>
  </si>
  <si>
    <t xml:space="preserve">Máy nghiền siêu mịn</t>
  </si>
  <si>
    <t xml:space="preserve">Air Classifier Mill</t>
  </si>
  <si>
    <t xml:space="preserve">air_classifier_mill</t>
  </si>
  <si>
    <t xml:space="preserve">9-11</t>
  </si>
  <si>
    <t xml:space="preserve">Máy nghiền chuyên dụng để sản xuất bột siêu mịn. Kết hợp làm mát bột và phân loại không khí có kiểm soát; dùng trong hóa chất, thực phẩm, khoáng sản và sơn phủ.</t>
  </si>
  <si>
    <t xml:space="preserve">Nguyên liệu được cấp vào buồng nghiền bằng vít tải cấp liệu.
Trong buồng nghiền, hạt nguyên liệu bị nghiền do:
- va đập với rotor quay tốc độ cao;
- va đập với liner cố định;
- lực cắt và va chạm liên tục.
Sau đó bột được cuốn theo dòng khí làm mát và vận chuyển do quạt hút tạo ra. Hỗn hợp khí–bột đi tới bánh phân ly động tích hợp ngay trong máy.
Tại vùng phân ly:
- Hạt quá thô bị bánh phân ly loại ra và quay trở lại vùng nghiền để nghiền tiếp.
- Hạt đạt yêu cầu đi xuyên qua bánh phân ly, ra khỏi máy và được cyclone thu hồi.
- Bụi cực mịn còn lại được chuyển tới hộp thu bụi, giúp hệ thống vận hành hạn chế phát tán bụi.
Độ mịn lớn nhất của sản phẩm được điều khiển chủ yếu bằng tốc độ bánh phân ly và có thể điều chỉnh trong khi máy đang hoạt động.</t>
  </si>
  <si>
    <t xml:space="preserve">Có phân loại trên/dưới; dao vuông cho bột siêu mịn, nguyên liệu cứng/giàu xơ; dao hình trụ cho vật liệu giòn/dễ vỡ/kết tinh.</t>
  </si>
  <si>
    <t xml:space="preserve">ASZ_PIN</t>
  </si>
  <si>
    <t xml:space="preserve">ASZ</t>
  </si>
  <si>
    <t xml:space="preserve">Máy nghiền pin</t>
  </si>
  <si>
    <t xml:space="preserve">High speed pin mill</t>
  </si>
  <si>
    <t xml:space="preserve">pin_mill</t>
  </si>
  <si>
    <t xml:space="preserve">11-13</t>
  </si>
  <si>
    <t xml:space="preserve">Máy nghiền va đập mịn với hai đĩa chốt quay. Có thể xử lý sản phẩm ẩm, dầu và dính. Buồng rộng phù hợp các sản phẩm này; có thể kết nối nitơ lỏng để làm mát. Có thể hoạt động độc lập và phù hợp sản phẩm dạng nhão như bột mịn cacao.</t>
  </si>
  <si>
    <t xml:space="preserve">Hai đĩa chốt quay tạo tốc độ tương đối cao; độ mịn điều chỉnh bằng thay đổi tốc độ các đĩa. Lực ly tâm hỗ trợ xử lý nguyên liệu ẩm, dầu và dính.</t>
  </si>
  <si>
    <t xml:space="preserve">Loại A cho bột chảy kém như bột gia vị; Loại B cho bột có khả năng chảy tốt.</t>
  </si>
  <si>
    <t xml:space="preserve">ASF_AS_HAMMER</t>
  </si>
  <si>
    <t xml:space="preserve">ASF/AS</t>
  </si>
  <si>
    <t xml:space="preserve">Máy nghiền búa</t>
  </si>
  <si>
    <t xml:space="preserve">Hammer mill</t>
  </si>
  <si>
    <t xml:space="preserve">hammer_mill</t>
  </si>
  <si>
    <t xml:space="preserve">14-15</t>
  </si>
  <si>
    <t xml:space="preserve">Sử dụng rộng rãi trong nhà máy thực phẩm và dược phẩm; phù hợp nghiền các nguyên liệu như tiêu, gia vị, hạt thì là.</t>
  </si>
  <si>
    <t xml:space="preserve">Nguyên liệu được nghiền nhờ chuyển động tốc độ cao giữa búa/dao động và đĩa cố định.
Trong buồng nghiền có lưới sàng:
- Hạt có kích thước nhỏ hơn lỗ sàng sẽ đi qua lưới và thoát khỏi buồng nghiền dưới tác dụng của lực ly tâm.
- Hạt còn quá lớn sẽ tiếp tục ở lại trong buồng nghiền để được nghiền tiếp.
Như vậy, kích thước thành phẩm được điều chỉnh chủ yếu thông qua kích thước lỗ sàng.</t>
  </si>
  <si>
    <t xml:space="preserve">AS-200 trở lên có cấu hình hệ thống theo bảng.</t>
  </si>
  <si>
    <t xml:space="preserve">ASDF_MULTISTAGE</t>
  </si>
  <si>
    <t xml:space="preserve">ASDF</t>
  </si>
  <si>
    <t xml:space="preserve">Máy nghiền búa nhiều tầng</t>
  </si>
  <si>
    <t xml:space="preserve">3-Stage advanced hammer mill unit</t>
  </si>
  <si>
    <t xml:space="preserve">multi_stage_hammer</t>
  </si>
  <si>
    <t xml:space="preserve">15-17</t>
  </si>
  <si>
    <t xml:space="preserve">Nghiền ba lần trong cùng buồng nghiền qua ba vùng: thô, trung bình và mịn. Có thể nghiền bột mịn trực tiếp từ nguyên liệu thô lớn; tích hợp cyclone, lọc bụi, quạt hút và tủ điều khiển.</t>
  </si>
  <si>
    <t xml:space="preserve">Điểm đặc biệt: nghiền 3 tầng trong cùng một buồng
Đây là điểm quan trọng nhất của ASDF.
Bộ phận nghiền tích hợp 3 vùng nghiền liên tiếp:
1. Vùng nghiền thô
2. Vùng nghiền trung gian
3. Vùng nghiền mịn
Mỗi tầng có một bộ dao và một lớp liner riêng. Nguyên liệu đi qua lần lượt ba nhóm dao quay tốc độ cao và được nghiền 3 lần trong cùng một buồng nghiền.
Giữa vùng nghiền trung gian và vùng nghiền mịn có một cơ cấu nhằm ngăn hạt thô đi trực tiếp sang khu vực nghiền mịn, giúp kiểm soát độ mịn của sản phẩm tốt hơn.</t>
  </si>
  <si>
    <t xml:space="preserve">PDF trang 17 hiển thị tiêu đề 'BSC Máy nghiền thô' nhưng nội dung, hình và bảng đều là BSDF; database giữ BSDF và ghi nhận trong bảng data_corrections.</t>
  </si>
  <si>
    <t xml:space="preserve">AS_ROLLER</t>
  </si>
  <si>
    <t xml:space="preserve">Máy nghiền trục lăn</t>
  </si>
  <si>
    <t xml:space="preserve">AS Series Spice Pulverizer Set</t>
  </si>
  <si>
    <t xml:space="preserve">roller_mill</t>
  </si>
  <si>
    <t xml:space="preserve">18</t>
  </si>
  <si>
    <t xml:space="preserve">Dùng rộng rãi trong thực phẩm, đặc biệt cho nguyên liệu dầu như vừng, lạc (đậu phộng) và hạnh nhân; có thể nghiền thành bột khoảng 10-40 mesh.</t>
  </si>
  <si>
    <t xml:space="preserve">Nguyên liệu thô được đưa từ phễu nạp liệu vào khu vực trục nghiền và được nghiền thành dạng bột. Bằng cách điều chỉnh khoảng cách giữa hai trục nghiền, người dùng có thể thu được thành phẩm với kích thước hạt theo mong muốn.</t>
  </si>
  <si>
    <t xml:space="preserve">3-roller và 4-roller.</t>
  </si>
  <si>
    <t xml:space="preserve">ASK_JET</t>
  </si>
  <si>
    <t xml:space="preserve">ASK</t>
  </si>
  <si>
    <t xml:space="preserve">Máy nghiền phản lực khí siêu mịn</t>
  </si>
  <si>
    <t xml:space="preserve">Powder Air Jet Mill</t>
  </si>
  <si>
    <t xml:space="preserve">jet_mill</t>
  </si>
  <si>
    <t xml:space="preserve">19</t>
  </si>
  <si>
    <t xml:space="preserve">Ứng dụng chính của ASK Jet Mill phù hợp cho:
- Vật liệu có tính mài mòn
- Nguyên liệu có tính dính
- Chất độn khoáng
- Chất độn ceramic/gốm
- Thực phẩm
- Hóa chất
- Hóa chất nông nghiệp</t>
  </si>
  <si>
    <t xml:space="preserve">Air Jet Mill là máy nghiền sử dụng khí nén tốc độ cao để nghiền các vật liệu dạng khô thành bột siêu mịn. Cấu tạo chính bao gồm vít cấp liệu, vòi phun nghiền, buồng nghiền và buồng phân cấp.
Có thể hình dung nguyên lý:
Nguyên liệu → vít cấp liệu → buồng nghiền → khí nén tốc độ cao → va chạm giữa các hạt → phân cấp → cyclone → bộ thu bụi
Bước 1 – Cấp liệu
Vít tải có tốc độ điều chỉnh, đưa nguyên liệu vào Jet Mill một cách ổn định và liên tục.
Bước 2 – Gia tốc bằng khí nén
Khí nén đi qua các vòi phun được thiết kế đặc biệt, đạt vận tốc rất cao.
Luồng khí cuốn nguyên liệu vào vùng nghiền.
Bước 3 – Nghiền bằng va chạm
Điểm rất quan trọng của Jet Mill là:
Không chủ yếu dùng dao, búa hay pin để nghiền.
Các hạt nguyên liệu được khí nén gia tốc và va chạm với nhau nhiều lần, từ đó tự vỡ nhỏ thành bột.
Đây là khác biệt lớn so với ASP Air Classifier Mill hoặc ASZ Pin Mill.
Bước 4 – Phân cấp
Sau khi nghiền, bột được luồng khí đưa lên buồng phân cấp.
Tại đây hạt chịu hai lực chính:
- Lực ly tâm do bánh phân cấp quay tốc độ cao.
- Lực hút khí động do hệ thống quạt hút tạo ra.
Bước 5 – Tách bột mịn và bột thô
Nếu hạt đã đủ mịn, lực hút khí thắng lực ly tâm, hạt đi qua bánh phân cấp và tiếp tục đến:
Classifier → Cyclone → Dust Collector
để thu hồi sản phẩm.
Nếu hạt còn quá thô, bánh phân cấp sẽ loại nó ra và đưa trở lại buồng nghiền để tiếp tục nghiền.</t>
  </si>
  <si>
    <t xml:space="preserve">Đơn vị tiêu thụ khí nén được giữ nguyên theo PDF là m3/giây và được đánh dấu cần xác minh trước khi dùng thiết kế.</t>
  </si>
  <si>
    <t xml:space="preserve">AS_CRYOGENIC</t>
  </si>
  <si>
    <t xml:space="preserve">Máy nghiền siêu lạnh</t>
  </si>
  <si>
    <t xml:space="preserve">Low Temperature Spice Cryogenic Pin Mill Grinder</t>
  </si>
  <si>
    <t xml:space="preserve">cryogenic_grinding</t>
  </si>
  <si>
    <t xml:space="preserve">20</t>
  </si>
  <si>
    <t xml:space="preserve">Máy có phạm vi ứng dụng khá rộng, gồm:
- Thực phẩm và sản phẩm chăm sóc sức khỏe: gia vị, chiết xuất động thực vật, thuốc đông dược/thành phẩm y học cổ truyền, các thành phần tự nhiên và tổng hợp
- Ngành hóa chất và sơn phủ: ví dụ bột dùng cho lớp phủ Teflon, PA, PC, PU, PP, PE
- Tái chế: nhựa có điểm nóng chảy thấp, vật liệu tự bôi trơn cao, cao su phế liệu, cao su nguyên sinh…</t>
  </si>
  <si>
    <t xml:space="preserve">Nguồn lạnh trao đổi nhiệt với vật liệu làm vật liệu hạ nhiệt và trở nên giòn. Sau đó vật liệu được va đập, cắt và ma sát trong buồng nghiền để tạo thành hạt mịn. Trang sản phẩm còn nói kích thước có thể đạt tới mức micron trong mô tả nguyên lý nghiền.</t>
  </si>
  <si>
    <t xml:space="preserve">Nhiệt độ nguồn ghi -196 đến 0 °C.</t>
  </si>
  <si>
    <t xml:space="preserve">machine_id</t>
  </si>
  <si>
    <t xml:space="preserve">ID Check</t>
  </si>
  <si>
    <t xml:space="preserve">model</t>
  </si>
  <si>
    <t xml:space="preserve">active</t>
  </si>
  <si>
    <t xml:space="preserve">pdf_page</t>
  </si>
  <si>
    <t xml:space="preserve">capacity_min_kg_h</t>
  </si>
  <si>
    <t xml:space="preserve">capacity_max_kg_h</t>
  </si>
  <si>
    <t xml:space="preserve">input_size_max_mm</t>
  </si>
  <si>
    <t xml:space="preserve">input_size_note</t>
  </si>
  <si>
    <t xml:space="preserve">fineness_min</t>
  </si>
  <si>
    <t xml:space="preserve">fineness_max</t>
  </si>
  <si>
    <t xml:space="preserve">fineness_unit</t>
  </si>
  <si>
    <t xml:space="preserve">main_motor_kw_min</t>
  </si>
  <si>
    <t xml:space="preserve">main_motor_kw_max</t>
  </si>
  <si>
    <t xml:space="preserve">speed_rpm_min</t>
  </si>
  <si>
    <t xml:space="preserve">speed_rpm_max</t>
  </si>
  <si>
    <t xml:space="preserve">length_mm</t>
  </si>
  <si>
    <t xml:space="preserve">width_mm</t>
  </si>
  <si>
    <t xml:space="preserve">height_mm</t>
  </si>
  <si>
    <t xml:space="preserve">weight_kg</t>
  </si>
  <si>
    <t xml:space="preserve">source_document</t>
  </si>
  <si>
    <t xml:space="preserve">edit_note</t>
  </si>
  <si>
    <t xml:space="preserve">ASC_COARSE__ASC-200</t>
  </si>
  <si>
    <t xml:space="preserve">OK</t>
  </si>
  <si>
    <t xml:space="preserve">ASC-200</t>
  </si>
  <si>
    <t xml:space="preserve">&lt; 100 mm</t>
  </si>
  <si>
    <t xml:space="preserve">mm</t>
  </si>
  <si>
    <t xml:space="preserve">Đổi ký tự đầu của model từ B thành A.</t>
  </si>
  <si>
    <t xml:space="preserve">ASC_COARSE__ASC-300</t>
  </si>
  <si>
    <t xml:space="preserve">ASC-300</t>
  </si>
  <si>
    <t xml:space="preserve">ASC_COARSE__ASC-400</t>
  </si>
  <si>
    <t xml:space="preserve">ASC-400</t>
  </si>
  <si>
    <t xml:space="preserve">ASC_COARSE__ASC-600</t>
  </si>
  <si>
    <t xml:space="preserve">ASC-600</t>
  </si>
  <si>
    <t xml:space="preserve">ASC_COARSE__ASC-1000</t>
  </si>
  <si>
    <t xml:space="preserve">ASC-1000</t>
  </si>
  <si>
    <t xml:space="preserve">AS_SMALL_HAMMER__AS-180</t>
  </si>
  <si>
    <t xml:space="preserve">AS-180</t>
  </si>
  <si>
    <t xml:space="preserve">&lt;10 mm cho nguyên liệu hạt; &lt;15×40×2 mm cho nguyên liệu lá</t>
  </si>
  <si>
    <t xml:space="preserve">mesh</t>
  </si>
  <si>
    <t xml:space="preserve">AS_SMALL_HAMMER__AS-250</t>
  </si>
  <si>
    <t xml:space="preserve">AS-250</t>
  </si>
  <si>
    <t xml:space="preserve">AS_SMALL_HAMMER__AS-350</t>
  </si>
  <si>
    <t xml:space="preserve">AS-350</t>
  </si>
  <si>
    <t xml:space="preserve">ASU_UNIVERSAL__ASU-20</t>
  </si>
  <si>
    <t xml:space="preserve">ASU-20</t>
  </si>
  <si>
    <t xml:space="preserve">&lt; 6 mm</t>
  </si>
  <si>
    <t xml:space="preserve">ASU_UNIVERSAL__ASU-30</t>
  </si>
  <si>
    <t xml:space="preserve">ASU-30</t>
  </si>
  <si>
    <t xml:space="preserve">&lt; 10 mm</t>
  </si>
  <si>
    <t xml:space="preserve">ASU_UNIVERSAL__ASU-40</t>
  </si>
  <si>
    <t xml:space="preserve">ASU-40</t>
  </si>
  <si>
    <t xml:space="preserve">ASU_UNIVERSAL__ASU-50</t>
  </si>
  <si>
    <t xml:space="preserve">ASU-50</t>
  </si>
  <si>
    <t xml:space="preserve">ASG_UNIVERSAL_SYSTEM__ASG-300</t>
  </si>
  <si>
    <t xml:space="preserve">ASG-300</t>
  </si>
  <si>
    <t xml:space="preserve">ASG_UNIVERSAL_SYSTEM__ASG-400</t>
  </si>
  <si>
    <t xml:space="preserve">ASG-400</t>
  </si>
  <si>
    <t xml:space="preserve">ASG_UNIVERSAL_SYSTEM__ASG-500</t>
  </si>
  <si>
    <t xml:space="preserve">ASG-500</t>
  </si>
  <si>
    <t xml:space="preserve">ASG_UNIVERSAL_SYSTEM__ASG-600</t>
  </si>
  <si>
    <t xml:space="preserve">ASG-600</t>
  </si>
  <si>
    <t xml:space="preserve">ASG_UNIVERSAL_SYSTEM__ASG-850</t>
  </si>
  <si>
    <t xml:space="preserve">ASG-850</t>
  </si>
  <si>
    <t xml:space="preserve">ASG_UNIVERSAL_SYSTEM__ASG-1000</t>
  </si>
  <si>
    <t xml:space="preserve">ASG-1000</t>
  </si>
  <si>
    <t xml:space="preserve">ASP_ULTRAFINE__ASP-250</t>
  </si>
  <si>
    <t xml:space="preserve">ASP-250</t>
  </si>
  <si>
    <t xml:space="preserve">&lt; 8 mm</t>
  </si>
  <si>
    <t xml:space="preserve">ASP_ULTRAFINE__ASP-350</t>
  </si>
  <si>
    <t xml:space="preserve">ASP-350</t>
  </si>
  <si>
    <t xml:space="preserve">&lt; 15 mm</t>
  </si>
  <si>
    <t xml:space="preserve">ASP_ULTRAFINE__ASP-450</t>
  </si>
  <si>
    <t xml:space="preserve">ASP-450</t>
  </si>
  <si>
    <t xml:space="preserve">ASP_ULTRAFINE__ASP-500</t>
  </si>
  <si>
    <t xml:space="preserve">ASP-500</t>
  </si>
  <si>
    <t xml:space="preserve">ASP_ULTRAFINE__ASP-750</t>
  </si>
  <si>
    <t xml:space="preserve">ASP-750</t>
  </si>
  <si>
    <t xml:space="preserve">ASP_ULTRAFINE__ASP-900</t>
  </si>
  <si>
    <t xml:space="preserve">ASP-900</t>
  </si>
  <si>
    <t xml:space="preserve">&lt; 20 mm</t>
  </si>
  <si>
    <t xml:space="preserve">ASP_ULTRAFINE__ASP-1000</t>
  </si>
  <si>
    <t xml:space="preserve">ASP-1000</t>
  </si>
  <si>
    <t xml:space="preserve">ASZ_PIN__ASZ-250</t>
  </si>
  <si>
    <t xml:space="preserve">ASZ-250</t>
  </si>
  <si>
    <t xml:space="preserve">&lt; 5 mm</t>
  </si>
  <si>
    <t xml:space="preserve">ASZ_PIN__ASZ-350</t>
  </si>
  <si>
    <t xml:space="preserve">ASZ-350</t>
  </si>
  <si>
    <t xml:space="preserve">ASZ_PIN__ASZ-450</t>
  </si>
  <si>
    <t xml:space="preserve">ASZ-450</t>
  </si>
  <si>
    <t xml:space="preserve">ASZ_PIN__ASZ-550</t>
  </si>
  <si>
    <t xml:space="preserve">ASZ-550</t>
  </si>
  <si>
    <t xml:space="preserve">ASZ_PIN__ASZ-630</t>
  </si>
  <si>
    <t xml:space="preserve">ASZ-630</t>
  </si>
  <si>
    <t xml:space="preserve">&lt; 25 mm</t>
  </si>
  <si>
    <t xml:space="preserve">ASF_AS_HAMMER__ASF-15</t>
  </si>
  <si>
    <t xml:space="preserve">ASF-15</t>
  </si>
  <si>
    <t xml:space="preserve">ASF_AS_HAMMER__ASF-32</t>
  </si>
  <si>
    <t xml:space="preserve">ASF-32</t>
  </si>
  <si>
    <t xml:space="preserve">ASF_AS_HAMMER__AS-200</t>
  </si>
  <si>
    <t xml:space="preserve">AS-200</t>
  </si>
  <si>
    <t xml:space="preserve">ASF_AS_HAMMER__AS-320</t>
  </si>
  <si>
    <t xml:space="preserve">AS-320</t>
  </si>
  <si>
    <t xml:space="preserve">ASF_AS_HAMMER__AS-400</t>
  </si>
  <si>
    <t xml:space="preserve">AS-400</t>
  </si>
  <si>
    <t xml:space="preserve">ASF_AS_HAMMER__AS-630</t>
  </si>
  <si>
    <t xml:space="preserve">AS-630</t>
  </si>
  <si>
    <t xml:space="preserve">ASF_AS_HAMMER__AS-880</t>
  </si>
  <si>
    <t xml:space="preserve">AS-880</t>
  </si>
  <si>
    <t xml:space="preserve">ASF_AS_HAMMER__AS-1000</t>
  </si>
  <si>
    <t xml:space="preserve">AS-1000</t>
  </si>
  <si>
    <t xml:space="preserve">ASDF_MULTISTAGE__ASDF-350</t>
  </si>
  <si>
    <t xml:space="preserve">ASDF-350</t>
  </si>
  <si>
    <t xml:space="preserve">ASDF_MULTISTAGE__ASDF-450</t>
  </si>
  <si>
    <t xml:space="preserve">ASDF-450</t>
  </si>
  <si>
    <t xml:space="preserve">ASDF_MULTISTAGE__ASDF-550</t>
  </si>
  <si>
    <t xml:space="preserve">ASDF-550</t>
  </si>
  <si>
    <t xml:space="preserve">ASDF_MULTISTAGE__ASDF-750</t>
  </si>
  <si>
    <t xml:space="preserve">ASDF-750</t>
  </si>
  <si>
    <t xml:space="preserve">AS_ROLLER__AS150-3</t>
  </si>
  <si>
    <t xml:space="preserve">AS150-3</t>
  </si>
  <si>
    <t xml:space="preserve">AS_ROLLER__AS150-4</t>
  </si>
  <si>
    <t xml:space="preserve">AS150-4</t>
  </si>
  <si>
    <t xml:space="preserve">AS_ROLLER__AS250-3</t>
  </si>
  <si>
    <t xml:space="preserve">AS250-3</t>
  </si>
  <si>
    <t xml:space="preserve">AS_ROLLER__AS250-4</t>
  </si>
  <si>
    <t xml:space="preserve">AS250-4</t>
  </si>
  <si>
    <t xml:space="preserve">AS_ROLLER__AS500-3</t>
  </si>
  <si>
    <t xml:space="preserve">AS500-3</t>
  </si>
  <si>
    <t xml:space="preserve">AS_ROLLER__AS500-4</t>
  </si>
  <si>
    <t xml:space="preserve">AS500-4</t>
  </si>
  <si>
    <t xml:space="preserve">ASK_JET__ASK-100</t>
  </si>
  <si>
    <t xml:space="preserve">ASK-100</t>
  </si>
  <si>
    <t xml:space="preserve">µm</t>
  </si>
  <si>
    <t xml:space="preserve">ASK_JET__ASK-200</t>
  </si>
  <si>
    <t xml:space="preserve">ASK-200</t>
  </si>
  <si>
    <t xml:space="preserve">ASK_JET__ASK-300</t>
  </si>
  <si>
    <t xml:space="preserve">ASK-300</t>
  </si>
  <si>
    <t xml:space="preserve">ASK_JET__ASK-400</t>
  </si>
  <si>
    <t xml:space="preserve">ASK-400</t>
  </si>
  <si>
    <t xml:space="preserve">ASK_JET__ASK-600</t>
  </si>
  <si>
    <t xml:space="preserve">ASK-600</t>
  </si>
  <si>
    <t xml:space="preserve">ASK_JET__ASK-800</t>
  </si>
  <si>
    <t xml:space="preserve">ASK-800</t>
  </si>
  <si>
    <t xml:space="preserve">AS_CRYOGENIC__AS-200</t>
  </si>
  <si>
    <t xml:space="preserve">5 - 15 mm</t>
  </si>
  <si>
    <t xml:space="preserve">AS_CRYOGENIC__AS-400</t>
  </si>
  <si>
    <t xml:space="preserve">AS_CRYOGENIC__AS-500</t>
  </si>
  <si>
    <t xml:space="preserve">AS-500</t>
  </si>
  <si>
    <t xml:space="preserve">spec_key</t>
  </si>
  <si>
    <t xml:space="preserve">spec_value_number</t>
  </si>
  <si>
    <t xml:space="preserve">spec_value_text</t>
  </si>
  <si>
    <t xml:space="preserve">unit</t>
  </si>
  <si>
    <t xml:space="preserve">source_pdf_page</t>
  </si>
  <si>
    <t xml:space="preserve">note</t>
  </si>
  <si>
    <t xml:space="preserve">BS_SMALL_HAMMER</t>
  </si>
  <si>
    <t xml:space="preserve">chamber_diameter_mm</t>
  </si>
  <si>
    <t xml:space="preserve">BSG_UNIVERSAL_SYSTEM</t>
  </si>
  <si>
    <t xml:space="preserve">blower_motor_kw</t>
  </si>
  <si>
    <t xml:space="preserve">kW</t>
  </si>
  <si>
    <t xml:space="preserve">discharge_motor_kw_min</t>
  </si>
  <si>
    <t xml:space="preserve">discharge_motor_kw_max</t>
  </si>
  <si>
    <t xml:space="preserve">BSP_ULTRAFINE</t>
  </si>
  <si>
    <t xml:space="preserve">classifier_motor_kw</t>
  </si>
  <si>
    <t xml:space="preserve">feed_motor_kw</t>
  </si>
  <si>
    <t xml:space="preserve">discharge_motor_kw</t>
  </si>
  <si>
    <t xml:space="preserve">classifier_speed_rpm</t>
  </si>
  <si>
    <t xml:space="preserve">rpm</t>
  </si>
  <si>
    <t xml:space="preserve">BSZ_PIN</t>
  </si>
  <si>
    <t xml:space="preserve">chamber_motor_kw_min</t>
  </si>
  <si>
    <t xml:space="preserve">chamber_motor_kw_max</t>
  </si>
  <si>
    <t xml:space="preserve">door_motor_kw_min</t>
  </si>
  <si>
    <t xml:space="preserve">door_motor_kw_max</t>
  </si>
  <si>
    <t xml:space="preserve">BSF_BS_HAMMER</t>
  </si>
  <si>
    <t xml:space="preserve">BSDF_MULTISTAGE</t>
  </si>
  <si>
    <t xml:space="preserve">BS_ROLLER</t>
  </si>
  <si>
    <t xml:space="preserve">roller_diameter_mm</t>
  </si>
  <si>
    <t xml:space="preserve">roller_length_mm</t>
  </si>
  <si>
    <t xml:space="preserve">roller_count</t>
  </si>
  <si>
    <t xml:space="preserve">count</t>
  </si>
  <si>
    <t xml:space="preserve">BSK_JET</t>
  </si>
  <si>
    <t xml:space="preserve">compressed_air_consumption_source_value</t>
  </si>
  <si>
    <t xml:space="preserve">m3/s</t>
  </si>
  <si>
    <t xml:space="preserve">Cần xác minh đơn vị trước khi dùng tính toán.</t>
  </si>
  <si>
    <t xml:space="preserve">compressed_air_consumption_source_unit</t>
  </si>
  <si>
    <t xml:space="preserve">pressure_mpa_min</t>
  </si>
  <si>
    <t xml:space="preserve">MPa</t>
  </si>
  <si>
    <t xml:space="preserve">pressure_mpa_max</t>
  </si>
  <si>
    <t xml:space="preserve">electrical_consumption_kw</t>
  </si>
  <si>
    <t xml:space="preserve">needs_verification</t>
  </si>
  <si>
    <t xml:space="preserve">air_consumption_unit</t>
  </si>
  <si>
    <t xml:space="preserve">BS_CRYOGENIC</t>
  </si>
  <si>
    <t xml:space="preserve">grinding_chamber_mm</t>
  </si>
  <si>
    <t xml:space="preserve">cooling_medium</t>
  </si>
  <si>
    <t xml:space="preserve">Nitơ lỏng</t>
  </si>
  <si>
    <t xml:space="preserve">temperature_c_min</t>
  </si>
  <si>
    <t xml:space="preserve">°C</t>
  </si>
  <si>
    <t xml:space="preserve">temperature_c_max</t>
  </si>
  <si>
    <t xml:space="preserve">loading_unloading</t>
  </si>
  <si>
    <t xml:space="preserve">Truyền tải trục vít</t>
  </si>
  <si>
    <t xml:space="preserve">performance_note</t>
  </si>
  <si>
    <t xml:space="preserve">Công suất và độ mịn phụ thuộc nguyên liệu</t>
  </si>
  <si>
    <t xml:space="preserve">tag</t>
  </si>
  <si>
    <t xml:space="preserve">BSC</t>
  </si>
  <si>
    <t xml:space="preserve">coarse</t>
  </si>
  <si>
    <t xml:space="preserve">Dùng cho bộ lọc/chọn máy tự động</t>
  </si>
  <si>
    <t xml:space="preserve">pre_crushing</t>
  </si>
  <si>
    <t xml:space="preserve">large_input</t>
  </si>
  <si>
    <t xml:space="preserve">impact</t>
  </si>
  <si>
    <t xml:space="preserve">cutting</t>
  </si>
  <si>
    <t xml:space="preserve">BS</t>
  </si>
  <si>
    <t xml:space="preserve">food</t>
  </si>
  <si>
    <t xml:space="preserve">chemical</t>
  </si>
  <si>
    <t xml:space="preserve">pharma</t>
  </si>
  <si>
    <t xml:space="preserve">fibrous</t>
  </si>
  <si>
    <t xml:space="preserve">hard_material</t>
  </si>
  <si>
    <t xml:space="preserve">screen</t>
  </si>
  <si>
    <t xml:space="preserve">hammer</t>
  </si>
  <si>
    <t xml:space="preserve">BSU</t>
  </si>
  <si>
    <t xml:space="preserve">universal</t>
  </si>
  <si>
    <t xml:space="preserve">feed</t>
  </si>
  <si>
    <t xml:space="preserve">variable_speed</t>
  </si>
  <si>
    <t xml:space="preserve">BSG</t>
  </si>
  <si>
    <t xml:space="preserve">dust_collection</t>
  </si>
  <si>
    <t xml:space="preserve">blower</t>
  </si>
  <si>
    <t xml:space="preserve">continuous</t>
  </si>
  <si>
    <t xml:space="preserve">BSP</t>
  </si>
  <si>
    <t xml:space="preserve">ultrafine</t>
  </si>
  <si>
    <t xml:space="preserve">air_classifier</t>
  </si>
  <si>
    <t xml:space="preserve">cooling_air</t>
  </si>
  <si>
    <t xml:space="preserve">mineral</t>
  </si>
  <si>
    <t xml:space="preserve">coating</t>
  </si>
  <si>
    <t xml:space="preserve">brittle</t>
  </si>
  <si>
    <t xml:space="preserve">crystalline</t>
  </si>
  <si>
    <t xml:space="preserve">BSZ</t>
  </si>
  <si>
    <t xml:space="preserve">wet</t>
  </si>
  <si>
    <t xml:space="preserve">oily</t>
  </si>
  <si>
    <t xml:space="preserve">sticky</t>
  </si>
  <si>
    <t xml:space="preserve">paste</t>
  </si>
  <si>
    <t xml:space="preserve">cacao</t>
  </si>
  <si>
    <t xml:space="preserve">nitrogen_optional</t>
  </si>
  <si>
    <t xml:space="preserve">easy_clean</t>
  </si>
  <si>
    <t xml:space="preserve">small_capacity</t>
  </si>
  <si>
    <t xml:space="preserve">BSF/BS</t>
  </si>
  <si>
    <t xml:space="preserve">dust_control</t>
  </si>
  <si>
    <t xml:space="preserve">powder</t>
  </si>
  <si>
    <t xml:space="preserve">granule</t>
  </si>
  <si>
    <t xml:space="preserve">BSDF</t>
  </si>
  <si>
    <t xml:space="preserve">multi_stage</t>
  </si>
  <si>
    <t xml:space="preserve">screenless</t>
  </si>
  <si>
    <t xml:space="preserve">low_heat</t>
  </si>
  <si>
    <t xml:space="preserve">energy_saving</t>
  </si>
  <si>
    <t xml:space="preserve">cyclone</t>
  </si>
  <si>
    <t xml:space="preserve">dust_filter</t>
  </si>
  <si>
    <t xml:space="preserve">roller</t>
  </si>
  <si>
    <t xml:space="preserve">sesame</t>
  </si>
  <si>
    <t xml:space="preserve">peanut</t>
  </si>
  <si>
    <t xml:space="preserve">almond</t>
  </si>
  <si>
    <t xml:space="preserve">low_fineness</t>
  </si>
  <si>
    <t xml:space="preserve">BSK</t>
  </si>
  <si>
    <t xml:space="preserve">compressed_air</t>
  </si>
  <si>
    <t xml:space="preserve">ultrafine_um</t>
  </si>
  <si>
    <t xml:space="preserve">classifier</t>
  </si>
  <si>
    <t xml:space="preserve">cryogenic</t>
  </si>
  <si>
    <t xml:space="preserve">liquid_nitrogen</t>
  </si>
  <si>
    <t xml:space="preserve">heat_sensitive</t>
  </si>
  <si>
    <t xml:space="preserve">fruit</t>
  </si>
  <si>
    <t xml:space="preserve">vegetable</t>
  </si>
  <si>
    <t xml:space="preserve">herb</t>
  </si>
  <si>
    <t xml:space="preserve">medicine</t>
  </si>
  <si>
    <t xml:space="preserve">plastic</t>
  </si>
  <si>
    <t xml:space="preserve">rubber</t>
  </si>
  <si>
    <t xml:space="preserve">original_text</t>
  </si>
  <si>
    <t xml:space="preserve">normalized_value</t>
  </si>
  <si>
    <t xml:space="preserve">reason</t>
  </si>
  <si>
    <t xml:space="preserve">correction_type</t>
  </si>
  <si>
    <t xml:space="preserve">status</t>
  </si>
  <si>
    <t xml:space="preserve">review_note</t>
  </si>
  <si>
    <t xml:space="preserve">BSC MÁY NGHIỀN THÔ</t>
  </si>
  <si>
    <t xml:space="preserve">BSDF MÁY NGHIỀN BÚA NHIỀU TẦNG</t>
  </si>
  <si>
    <t xml:space="preserve">Các model trong bảng là BSDF-350/450/550/750; phần mô tả liền trước và chú thích ảnh đều ghi BSDF.</t>
  </si>
  <si>
    <t xml:space="preserve">catalog_layout_typo</t>
  </si>
  <si>
    <t xml:space="preserve">Open</t>
  </si>
  <si>
    <t xml:space="preserve">Tiêu thụ khí nén (m3 / giây)</t>
  </si>
  <si>
    <t xml:space="preserve">Giữ nguyên đơn vị nguồn: m3/s</t>
  </si>
  <si>
    <t xml:space="preserve">Đơn vị trong PDF được bảo toàn; cần kỹ sư xác minh trước khi dùng để thiết kế/chọn máy nén khí.</t>
  </si>
  <si>
    <t xml:space="preserve">BS-200 / BS-400 / BS-500</t>
  </si>
  <si>
    <t xml:space="preserve">Machine ID có prefix series BS_CRYOGENIC</t>
  </si>
  <si>
    <t xml:space="preserve">Tên model BS bị trùng với dòng máy nghiền búa; dùng machine_id theo series để tránh xung đột khóa.</t>
  </si>
  <si>
    <t xml:space="preserve">database_normalization</t>
  </si>
  <si>
    <t xml:space="preserve">Sheet</t>
  </si>
  <si>
    <t xml:space="preserve">Field</t>
  </si>
  <si>
    <t xml:space="preserve">Ý nghĩa / cách cập nhật</t>
  </si>
  <si>
    <t xml:space="preserve">Unit / kiểu dữ liệu</t>
  </si>
  <si>
    <t xml:space="preserve">Bắt buộc</t>
  </si>
  <si>
    <t xml:space="preserve">Models</t>
  </si>
  <si>
    <t xml:space="preserve">Khóa duy nhất. Hiện được đồng bộ theo series_code + tên model A-series.</t>
  </si>
  <si>
    <t xml:space="preserve">text</t>
  </si>
  <si>
    <t xml:space="preserve">Yes</t>
  </si>
  <si>
    <t xml:space="preserve">Mã dòng máy nội bộ; hiện giữ mã gốc để ổn định cấu trúc database.</t>
  </si>
  <si>
    <t xml:space="preserve">Tên model hiển thị. Quy ước hiện tại: chữ cái đầu B đổi thành A.</t>
  </si>
  <si>
    <t xml:space="preserve">TRUE nếu model đang sử dụng.</t>
  </si>
  <si>
    <t xml:space="preserve">boolean</t>
  </si>
  <si>
    <t xml:space="preserve">capacity_min_kg_h / max</t>
  </si>
  <si>
    <t xml:space="preserve">Dải công suất.</t>
  </si>
  <si>
    <t xml:space="preserve">kg/h</t>
  </si>
  <si>
    <t xml:space="preserve">Recommended</t>
  </si>
  <si>
    <t xml:space="preserve">fineness_min / max</t>
  </si>
  <si>
    <t xml:space="preserve">Dải độ mịn, đọc cùng fineness_unit.</t>
  </si>
  <si>
    <t xml:space="preserve">number</t>
  </si>
  <si>
    <t xml:space="preserve">Extra_Specs</t>
  </si>
  <si>
    <t xml:space="preserve">Thông số riêng của từng công nghệ.</t>
  </si>
  <si>
    <t xml:space="preserve">Corrections</t>
  </si>
  <si>
    <t xml:space="preserve">Trạng thái xác minh dữ liệu nguồn.</t>
  </si>
  <si>
    <t xml:space="preserve">list</t>
  </si>
  <si>
    <t xml:space="preserve">Chỉ dùng tự động các thuộc tính/tương thích có status=Verified.</t>
  </si>
  <si>
    <t xml:space="preserve">score_adjustment</t>
  </si>
  <si>
    <t xml:space="preserve">Điểm điều chỉnh cho series theo material_id; không thay thế hard filter kỹ thuật.</t>
  </si>
  <si>
    <t xml:space="preserve">points</t>
  </si>
  <si>
    <t xml:space="preserve">value</t>
  </si>
  <si>
    <t xml:space="preserve">Các trọng số và guardrail có thể cấu hình trước khi đưa vào production.</t>
  </si>
  <si>
    <t xml:space="preserve">mixed</t>
  </si>
  <si>
    <t xml:space="preserve">logic</t>
  </si>
  <si>
    <t xml:space="preserve">Mô tả logic engine; app code nên implement deterministic, AI chỉ gọi engine.</t>
  </si>
  <si>
    <t xml:space="preserve">field_name</t>
  </si>
  <si>
    <t xml:space="preserve">Trường chuẩn mà LLM cần xuất ra từ câu chat.</t>
  </si>
  <si>
    <t xml:space="preserve">intent_id</t>
  </si>
  <si>
    <t xml:space="preserve">Intent để route câu hỏi: selection, compare, lookup...</t>
  </si>
  <si>
    <t xml:space="preserve">instruction</t>
  </si>
  <si>
    <t xml:space="preserve">Prompt/guardrail cho trợ lý AI; không được dùng để thay database.</t>
  </si>
  <si>
    <t xml:space="preserve">total_score</t>
  </si>
  <si>
    <t xml:space="preserve">Điểm test = technical score + material adjustment, giới hạn 0–100.</t>
  </si>
  <si>
    <t xml:space="preserve">Derived</t>
  </si>
  <si>
    <t xml:space="preserve">version</t>
  </si>
  <si>
    <t xml:space="preserve">date</t>
  </si>
  <si>
    <t xml:space="preserve">editor</t>
  </si>
  <si>
    <t xml:space="preserve">sheet</t>
  </si>
  <si>
    <t xml:space="preserve">record_id</t>
  </si>
  <si>
    <t xml:space="preserve">change_type</t>
  </si>
  <si>
    <t xml:space="preserve">description</t>
  </si>
  <si>
    <t xml:space="preserve">verified</t>
  </si>
  <si>
    <t xml:space="preserve">1.0</t>
  </si>
  <si>
    <t xml:space="preserve">2026-09-24</t>
  </si>
  <si>
    <t xml:space="preserve">OpenAI / DTC Product</t>
  </si>
  <si>
    <t xml:space="preserve">All</t>
  </si>
  <si>
    <t xml:space="preserve">Initial</t>
  </si>
  <si>
    <t xml:space="preserve">Created</t>
  </si>
  <si>
    <t xml:space="preserve">Tạo workbook editable từ database máy nghiền.</t>
  </si>
  <si>
    <t xml:space="preserve">1.1</t>
  </si>
  <si>
    <t xml:space="preserve">DTC Product</t>
  </si>
  <si>
    <t xml:space="preserve">Models / Extra_Specs</t>
  </si>
  <si>
    <t xml:space="preserve">All models</t>
  </si>
  <si>
    <t xml:space="preserve">Updated</t>
  </si>
  <si>
    <t xml:space="preserve">Đổi chữ cái đầu tiên của toàn bộ tên model từ B thành A và đồng bộ machine_id.</t>
  </si>
  <si>
    <t xml:space="preserve">2.0</t>
  </si>
  <si>
    <t xml:space="preserve">AI-ready sheets</t>
  </si>
  <si>
    <t xml:space="preserve">AI module</t>
  </si>
  <si>
    <t xml:space="preserve">Bổ sung Materials, Material_Series_Map, AI_Config, Selection_Rules, AI_Field_Map, AI_Intents, AI_Prompt, Chat_Examples và AI_Selection_Test để hỗ trợ Chat với trợ lý AI.</t>
  </si>
  <si>
    <t xml:space="preserve">2.1</t>
  </si>
  <si>
    <t xml:space="preserve">2026-09-25</t>
  </si>
  <si>
    <t xml:space="preserve">DTC Product / Claude</t>
  </si>
  <si>
    <t xml:space="preserve">Series / Models / Extra_Specs / Selection_Tags / Material_Series_Map</t>
  </si>
  <si>
    <t xml:space="preserve">All series</t>
  </si>
  <si>
    <t xml:space="preserve">Hoàn tất quy ước đổi B-&gt;A còn sót ở seriesCode/displayCode (bản 1.1 trước đó mới đổi model, series code bị bỏ sót) và đồng bộ machine_id/seriesCode liên quan ở Models, Extra_Specs, Selection_Tags, Material_Series_Map.</t>
  </si>
  <si>
    <t xml:space="preserve">Series</t>
  </si>
  <si>
    <t xml:space="preserve">All series (trừ ASK)</t>
  </si>
  <si>
    <t xml:space="preserve">Cập nhật tên tiếng Anh (name_en) 10/11 dòng máy theo tên chuẩn mới do DTC cung cấp (VD "ASC Series Coarse Crusher", "ASP Series Ultra-fine Pulverizer Set"...). ASK (Jet Mill) giữ nguyên vì không có trong danh sách cung cấp.</t>
  </si>
  <si>
    <t xml:space="preserve">correction_status</t>
  </si>
  <si>
    <t xml:space="preserve">Verified</t>
  </si>
  <si>
    <t xml:space="preserve">Resolved</t>
  </si>
  <si>
    <t xml:space="preserve">material_id</t>
  </si>
  <si>
    <t xml:space="preserve">category</t>
  </si>
  <si>
    <t xml:space="preserve">hardness</t>
  </si>
  <si>
    <t xml:space="preserve">sticky_or_paste</t>
  </si>
  <si>
    <t xml:space="preserve">source_candidate_series</t>
  </si>
  <si>
    <t xml:space="preserve">source_basis</t>
  </si>
  <si>
    <t xml:space="preserve">SESAME</t>
  </si>
  <si>
    <t xml:space="preserve">Vừng</t>
  </si>
  <si>
    <t xml:space="preserve">Sesame</t>
  </si>
  <si>
    <t xml:space="preserve">PDF p.18</t>
  </si>
  <si>
    <t xml:space="preserve">PDF nêu vừng là ví dụ nguyên liệu dầu phù hợp máy nghiền con lăn.</t>
  </si>
  <si>
    <t xml:space="preserve">PEANUT</t>
  </si>
  <si>
    <t xml:space="preserve">Lạc / Đậu phộng</t>
  </si>
  <si>
    <t xml:space="preserve">Peanut</t>
  </si>
  <si>
    <t xml:space="preserve">PDF nêu lạc/đậu phộng là ví dụ nguyên liệu dầu phù hợp máy nghiền con lăn.</t>
  </si>
  <si>
    <t xml:space="preserve">ALMOND</t>
  </si>
  <si>
    <t xml:space="preserve">Hạnh nhân</t>
  </si>
  <si>
    <t xml:space="preserve">Almond</t>
  </si>
  <si>
    <t xml:space="preserve">PDF nêu hạnh nhân là ví dụ nguyên liệu dầu phù hợp máy nghiền con lăn.</t>
  </si>
  <si>
    <t xml:space="preserve">SPICE_POWDER</t>
  </si>
  <si>
    <t xml:space="preserve">Bột gia vị</t>
  </si>
  <si>
    <t xml:space="preserve">Spice powder</t>
  </si>
  <si>
    <t xml:space="preserve">PDF p.12</t>
  </si>
  <si>
    <t xml:space="preserve">Loại A của BSZ được mô tả phù hợp bột có độ chảy kém như bột gia vị.</t>
  </si>
  <si>
    <t xml:space="preserve">CACAO</t>
  </si>
  <si>
    <t xml:space="preserve">Cacao</t>
  </si>
  <si>
    <t xml:space="preserve">PDF p.13</t>
  </si>
  <si>
    <t xml:space="preserve">PDF nêu BSZ có thể phù hợp sản phẩm dạng nhão như bột mịn cacao.</t>
  </si>
  <si>
    <t xml:space="preserve">FRUIT</t>
  </si>
  <si>
    <t xml:space="preserve">Trái cây</t>
  </si>
  <si>
    <t xml:space="preserve">Fruit</t>
  </si>
  <si>
    <t xml:space="preserve">PDF p.20</t>
  </si>
  <si>
    <t xml:space="preserve">PDF nêu máy nghiền làm lạnh dùng cho vật liệu nhạy nhiệt như trái cây.</t>
  </si>
  <si>
    <t xml:space="preserve">VEGETABLE</t>
  </si>
  <si>
    <t xml:space="preserve">Rau</t>
  </si>
  <si>
    <t xml:space="preserve">Vegetable</t>
  </si>
  <si>
    <t xml:space="preserve">PDF nêu máy nghiền làm lạnh dùng cho vật liệu nhạy nhiệt như rau.</t>
  </si>
  <si>
    <t xml:space="preserve">HERB</t>
  </si>
  <si>
    <t xml:space="preserve">Thảo mộc</t>
  </si>
  <si>
    <t xml:space="preserve">Herb</t>
  </si>
  <si>
    <t xml:space="preserve">food/pharma</t>
  </si>
  <si>
    <t xml:space="preserve">PDF nêu máy nghiền làm lạnh dùng cho thảo mộc; fibrous là trường để người dùng xác minh thêm.</t>
  </si>
  <si>
    <t xml:space="preserve">MEDICINE</t>
  </si>
  <si>
    <t xml:space="preserve">Dược liệu / Thuốc</t>
  </si>
  <si>
    <t xml:space="preserve">Medicine</t>
  </si>
  <si>
    <t xml:space="preserve">PDF nêu máy nghiền làm lạnh dùng cho thuốc.</t>
  </si>
  <si>
    <t xml:space="preserve">PLASTIC</t>
  </si>
  <si>
    <t xml:space="preserve">Nhựa</t>
  </si>
  <si>
    <t xml:space="preserve">Plastic</t>
  </si>
  <si>
    <t xml:space="preserve">industrial</t>
  </si>
  <si>
    <t xml:space="preserve">PDF nêu máy nghiền làm lạnh dùng cho nhựa.</t>
  </si>
  <si>
    <t xml:space="preserve">RUBBER</t>
  </si>
  <si>
    <t xml:space="preserve">Cao su</t>
  </si>
  <si>
    <t xml:space="preserve">Rubber</t>
  </si>
  <si>
    <t xml:space="preserve">PDF nêu máy nghiền làm lạnh dùng cho cao su.</t>
  </si>
  <si>
    <t xml:space="preserve">PEPPER</t>
  </si>
  <si>
    <t xml:space="preserve">Tiêu</t>
  </si>
  <si>
    <t xml:space="preserve">Pepper</t>
  </si>
  <si>
    <t xml:space="preserve">User example</t>
  </si>
  <si>
    <t xml:space="preserve">Needs validation</t>
  </si>
  <si>
    <t xml:space="preserve">Được thêm để phục vụ chatbot theo ví dụ sử dụng; đặc tính nguyên liệu cần DTC xác minh.</t>
  </si>
  <si>
    <t xml:space="preserve">TEA</t>
  </si>
  <si>
    <t xml:space="preserve">Trà</t>
  </si>
  <si>
    <t xml:space="preserve">Tea</t>
  </si>
  <si>
    <t xml:space="preserve">App use case</t>
  </si>
  <si>
    <t xml:space="preserve">Được thêm để thuận tiện nhập liệu; đặc tính nghiền cần DTC xác minh theo từng loại trà.</t>
  </si>
  <si>
    <t xml:space="preserve">SUGAR</t>
  </si>
  <si>
    <t xml:space="preserve">Đường</t>
  </si>
  <si>
    <t xml:space="preserve">Sugar</t>
  </si>
  <si>
    <t xml:space="preserve">Được thêm để thuận tiện nhập liệu; đặc tính và công nghệ phù hợp cần xác minh.</t>
  </si>
  <si>
    <t xml:space="preserve">basis_type</t>
  </si>
  <si>
    <t xml:space="preserve">reason_vi</t>
  </si>
  <si>
    <t xml:space="preserve">source_supported</t>
  </si>
  <si>
    <t xml:space="preserve">Nguyên liệu dầu; PDF nêu vừng là ví dụ ứng dụng máy nghiền con lăn.</t>
  </si>
  <si>
    <t xml:space="preserve">Nguyên liệu dầu; PDF nêu lạc/đậu phộng là ví dụ ứng dụng máy nghiền con lăn.</t>
  </si>
  <si>
    <t xml:space="preserve">Nguyên liệu dầu; PDF nêu hạnh nhân là ví dụ ứng dụng máy nghiền con lăn.</t>
  </si>
  <si>
    <t xml:space="preserve">BSZ Loại A phù hợp bột chảy kém như bột gia vị.</t>
  </si>
  <si>
    <t xml:space="preserve">BSZ được mô tả phù hợp sản phẩm dạng nhão như bột mịn cacao.</t>
  </si>
  <si>
    <t xml:space="preserve">Máy nghiền làm lạnh được nêu cho vật liệu nhạy nhiệt như trái cây.</t>
  </si>
  <si>
    <t xml:space="preserve">Máy nghiền làm lạnh được nêu cho vật liệu nhạy nhiệt như rau.</t>
  </si>
  <si>
    <t xml:space="preserve">Máy nghiền làm lạnh được nêu cho thảo mộc.</t>
  </si>
  <si>
    <t xml:space="preserve">Máy nghiền làm lạnh được nêu cho thuốc.</t>
  </si>
  <si>
    <t xml:space="preserve">Máy nghiền làm lạnh được nêu cho nhựa.</t>
  </si>
  <si>
    <t xml:space="preserve">Máy nghiền làm lạnh được nêu cho cao su.</t>
  </si>
  <si>
    <t xml:space="preserve">key</t>
  </si>
  <si>
    <t xml:space="preserve">editable</t>
  </si>
  <si>
    <t xml:space="preserve">capacity_weight</t>
  </si>
  <si>
    <t xml:space="preserve">scoring</t>
  </si>
  <si>
    <t xml:space="preserve">Điểm khi năng suất mục tiêu nằm trong dải model.</t>
  </si>
  <si>
    <t xml:space="preserve">input_size_weight</t>
  </si>
  <si>
    <t xml:space="preserve">Điểm khi kích thước đầu vào không vượt giới hạn model; nếu model không có dữ liệu thì không loại và phải cảnh báo.</t>
  </si>
  <si>
    <t xml:space="preserve">fineness_weight</t>
  </si>
  <si>
    <t xml:space="preserve">Điểm khi độ mịn và đơn vị nằm trong dải model.</t>
  </si>
  <si>
    <t xml:space="preserve">material_adjustment_min</t>
  </si>
  <si>
    <t xml:space="preserve">Giới hạn dưới điều chỉnh theo vật liệu.</t>
  </si>
  <si>
    <t xml:space="preserve">material_adjustment_max</t>
  </si>
  <si>
    <t xml:space="preserve">Giới hạn trên điều chỉnh theo vật liệu.</t>
  </si>
  <si>
    <t xml:space="preserve">candidate_threshold</t>
  </si>
  <si>
    <t xml:space="preserve">display</t>
  </si>
  <si>
    <t xml:space="preserve">Ngưỡng gợi ý để đánh dấu ứng viên mạnh khi không có cảnh báo loại.</t>
  </si>
  <si>
    <t xml:space="preserve">ask_if_capacity_missing</t>
  </si>
  <si>
    <t xml:space="preserve">dialog</t>
  </si>
  <si>
    <t xml:space="preserve">Hỏi lại nếu người dùng chưa cung cấp năng suất cho yêu cầu chọn model.</t>
  </si>
  <si>
    <t xml:space="preserve">ask_if_fineness_missing</t>
  </si>
  <si>
    <t xml:space="preserve">Hỏi lại nếu người dùng chưa cung cấp độ mịn khi cần chọn model cụ thể.</t>
  </si>
  <si>
    <t xml:space="preserve">allow_unknown_input_size</t>
  </si>
  <si>
    <t xml:space="preserve">guardrail</t>
  </si>
  <si>
    <t xml:space="preserve">Không loại model chỉ vì catalogue thiếu input size; trả cảnh báo.</t>
  </si>
  <si>
    <t xml:space="preserve">no_hallucinated_specs</t>
  </si>
  <si>
    <t xml:space="preserve">AI không được tự tạo thông số không tồn tại trong database.</t>
  </si>
  <si>
    <t xml:space="preserve">candidate_not_confirmation</t>
  </si>
  <si>
    <t xml:space="preserve">Kết quả là ứng viên kỹ thuật; công suất/độ mịn thực tế vẫn cần thử mẫu khi tài liệu không đảm bảo.</t>
  </si>
  <si>
    <t xml:space="preserve">rule_id</t>
  </si>
  <si>
    <t xml:space="preserve">rule_type</t>
  </si>
  <si>
    <t xml:space="preserve">input_field</t>
  </si>
  <si>
    <t xml:space="preserve">weight_or_value</t>
  </si>
  <si>
    <t xml:space="preserve">on_fail</t>
  </si>
  <si>
    <t xml:space="preserve">message_vi</t>
  </si>
  <si>
    <t xml:space="preserve">basis</t>
  </si>
  <si>
    <t xml:space="preserve">TECH_CAPACITY</t>
  </si>
  <si>
    <t xml:space="preserve">hard_filter</t>
  </si>
  <si>
    <t xml:space="preserve">capacity_kg_h</t>
  </si>
  <si>
    <t xml:space="preserve">model.capacity_min_kg_h &lt;= value &lt;= model.capacity_max_kg_h</t>
  </si>
  <si>
    <t xml:space="preserve">reject</t>
  </si>
  <si>
    <t xml:space="preserve">Năng suất phải nằm trong dải model.</t>
  </si>
  <si>
    <t xml:space="preserve">Database Models</t>
  </si>
  <si>
    <t xml:space="preserve">Active</t>
  </si>
  <si>
    <t xml:space="preserve">TECH_INPUT</t>
  </si>
  <si>
    <t xml:space="preserve">hard_filter_with_unknown</t>
  </si>
  <si>
    <t xml:space="preserve">input_size_mm</t>
  </si>
  <si>
    <t xml:space="preserve">value &lt;= model.input_size_max_mm OR model.input_size_max_mm IS NULL</t>
  </si>
  <si>
    <t xml:space="preserve">warn_if_unknown</t>
  </si>
  <si>
    <t xml:space="preserve">Nếu catalogue có giới hạn đầu vào thì phải đáp ứng; thiếu dữ liệu thì giữ model nhưng cảnh báo.</t>
  </si>
  <si>
    <t xml:space="preserve">TECH_FINENESS</t>
  </si>
  <si>
    <t xml:space="preserve">fineness_value + fineness_unit</t>
  </si>
  <si>
    <t xml:space="preserve">unit = model.fineness_unit AND min &lt;= value &lt;= max</t>
  </si>
  <si>
    <t xml:space="preserve">Độ mịn phải nằm trong dải và đúng đơn vị của model.</t>
  </si>
  <si>
    <t xml:space="preserve">MATERIAL_COMPAT</t>
  </si>
  <si>
    <t xml:space="preserve">lookup Material_Series_Map by material_id + series_code</t>
  </si>
  <si>
    <t xml:space="preserve">config</t>
  </si>
  <si>
    <t xml:space="preserve">adjust</t>
  </si>
  <si>
    <t xml:space="preserve">Điều chỉnh điểm theo dữ liệu tương thích nguyên liệu đã xác minh.</t>
  </si>
  <si>
    <t xml:space="preserve">NO_SPEC_GUESS</t>
  </si>
  <si>
    <t xml:space="preserve">any_missing_spec</t>
  </si>
  <si>
    <t xml:space="preserve">do not infer numeric specs</t>
  </si>
  <si>
    <t xml:space="preserve">warn</t>
  </si>
  <si>
    <t xml:space="preserve">Không tự suy đoán thông số kỹ thuật bị thiếu.</t>
  </si>
  <si>
    <t xml:space="preserve">BSC_PRECRUSH</t>
  </si>
  <si>
    <t xml:space="preserve">workflow_hint</t>
  </si>
  <si>
    <t xml:space="preserve">if input too large for fine mill and &lt;100 mm, evaluate ASC coarse crusher as pre-crusher</t>
  </si>
  <si>
    <t xml:space="preserve">suggest_process</t>
  </si>
  <si>
    <t xml:space="preserve">Có thể đề xuất nghiền sơ bộ ASC khi phù hợp dải đầu vào của dòng nghiền thô.</t>
  </si>
  <si>
    <t xml:space="preserve">PDF p.5 + app logic</t>
  </si>
  <si>
    <t xml:space="preserve">ASK_JET_AIR</t>
  </si>
  <si>
    <t xml:space="preserve">requirement</t>
  </si>
  <si>
    <t xml:space="preserve">series_code=BSK_JET</t>
  </si>
  <si>
    <t xml:space="preserve">surface pressure and air consumption requirements</t>
  </si>
  <si>
    <t xml:space="preserve">show_requirement</t>
  </si>
  <si>
    <t xml:space="preserve">Dòng ASK cần hiển thị yêu cầu khí nén và cảnh báo đơn vị tiêu thụ khí trong PDF cần xác minh.</t>
  </si>
  <si>
    <t xml:space="preserve">PDF p.19</t>
  </si>
  <si>
    <t xml:space="preserve">ASK_CRYO_N2</t>
  </si>
  <si>
    <t xml:space="preserve">series_code=BS_CRYOGENIC</t>
  </si>
  <si>
    <t xml:space="preserve">show liquid nitrogen requirement</t>
  </si>
  <si>
    <t xml:space="preserve">Dòng AS Cryogenic cần nitơ lỏng; không đề xuất mà không nói rõ điều kiện này.</t>
  </si>
  <si>
    <t xml:space="preserve">REAL_WORLD_TEST</t>
  </si>
  <si>
    <t xml:space="preserve">final_recommendation</t>
  </si>
  <si>
    <t xml:space="preserve">state that actual output depends on material where source says so</t>
  </si>
  <si>
    <t xml:space="preserve">Không coi kết quả database là bảo đảm hiệu suất thực tế; khuyến nghị test mẫu khi cần.</t>
  </si>
  <si>
    <t xml:space="preserve">PDF notes</t>
  </si>
  <si>
    <t xml:space="preserve">synonyms_vi</t>
  </si>
  <si>
    <t xml:space="preserve">data_type</t>
  </si>
  <si>
    <t xml:space="preserve">canonical_unit</t>
  </si>
  <si>
    <t xml:space="preserve">normalization</t>
  </si>
  <si>
    <t xml:space="preserve">importance</t>
  </si>
  <si>
    <t xml:space="preserve">năng suất|công suất|sản lượng|kg/h|tấn/giờ|t/h</t>
  </si>
  <si>
    <t xml:space="preserve">Convert t/h × 1000</t>
  </si>
  <si>
    <t xml:space="preserve">required_for_selection</t>
  </si>
  <si>
    <t xml:space="preserve">material_name</t>
  </si>
  <si>
    <t xml:space="preserve">nguyên liệu|vật liệu|sản phẩm|cần nghiền</t>
  </si>
  <si>
    <t xml:space="preserve">Resolve to Materials.material_id when possible</t>
  </si>
  <si>
    <t xml:space="preserve">recommended</t>
  </si>
  <si>
    <t xml:space="preserve">kích thước đầu vào|size đầu vào|nguyên liệu đầu vào|mm đầu vào</t>
  </si>
  <si>
    <t xml:space="preserve">Normalize to mm</t>
  </si>
  <si>
    <t xml:space="preserve">optional_but_useful</t>
  </si>
  <si>
    <t xml:space="preserve">fineness_value</t>
  </si>
  <si>
    <t xml:space="preserve">độ mịn|mesh|micron|µm|mm đầu ra</t>
  </si>
  <si>
    <t xml:space="preserve">Read together with fineness_unit</t>
  </si>
  <si>
    <t xml:space="preserve">required_for_specific_model</t>
  </si>
  <si>
    <t xml:space="preserve">mesh|micron|µm|um|mm</t>
  </si>
  <si>
    <t xml:space="preserve">enum</t>
  </si>
  <si>
    <t xml:space="preserve">mesh/µm/mm</t>
  </si>
  <si>
    <t xml:space="preserve">Normalize micron/um to µm</t>
  </si>
  <si>
    <t xml:space="preserve">required_when_fineness_present</t>
  </si>
  <si>
    <t xml:space="preserve">nhạy nhiệt|không được nóng|giữ màu|nhiệt độ thấp</t>
  </si>
  <si>
    <t xml:space="preserve">Do not infer TRUE unless user states or material record is Verified</t>
  </si>
  <si>
    <t xml:space="preserve">optional</t>
  </si>
  <si>
    <t xml:space="preserve">dầu|nhiều dầu|hàm lượng dầu</t>
  </si>
  <si>
    <t xml:space="preserve">Use only when stated or Verified material record</t>
  </si>
  <si>
    <t xml:space="preserve">dính|nhão|paste</t>
  </si>
  <si>
    <t xml:space="preserve">Map paste/nhão to sticky_or_paste</t>
  </si>
  <si>
    <t xml:space="preserve">ẩm|ướt|độ ẩm cao</t>
  </si>
  <si>
    <t xml:space="preserve">Do not infer level without value</t>
  </si>
  <si>
    <t xml:space="preserve">liên tục|continuous</t>
  </si>
  <si>
    <t xml:space="preserve">Can influence system preference but not hard-filter unless rule exists</t>
  </si>
  <si>
    <t xml:space="preserve">hút bụi|không bụi|thu bụi</t>
  </si>
  <si>
    <t xml:space="preserve">Prefer series with verified dust-collection tag</t>
  </si>
  <si>
    <t xml:space="preserve">trigger_description</t>
  </si>
  <si>
    <t xml:space="preserve">execution</t>
  </si>
  <si>
    <t xml:space="preserve">select_machine</t>
  </si>
  <si>
    <t xml:space="preserve">Chọn máy phù hợp</t>
  </si>
  <si>
    <t xml:space="preserve">Người dùng cung cấp nguyên liệu/thông số mục tiêu và muốn tìm dòng/model.</t>
  </si>
  <si>
    <t xml:space="preserve">Extract fields -&gt; deterministic filter/score -&gt; explain candidates</t>
  </si>
  <si>
    <t xml:space="preserve">Không trả model nếu dữ liệu bắt buộc thiếu; hỏi lại.</t>
  </si>
  <si>
    <t xml:space="preserve">compare_models</t>
  </si>
  <si>
    <t xml:space="preserve">So sánh model</t>
  </si>
  <si>
    <t xml:space="preserve">Người dùng nêu từ 2 model trở lên.</t>
  </si>
  <si>
    <t xml:space="preserve">Lookup exact records -&gt; compare common fields + extra specs</t>
  </si>
  <si>
    <t xml:space="preserve">Không tự bổ sung thông số thiếu.</t>
  </si>
  <si>
    <t xml:space="preserve">lookup_spec</t>
  </si>
  <si>
    <t xml:space="preserve">Tra thông số</t>
  </si>
  <si>
    <t xml:space="preserve">Hỏi thông số của một model.</t>
  </si>
  <si>
    <t xml:space="preserve">Exact lookup by model/machine_id</t>
  </si>
  <si>
    <t xml:space="preserve">Nếu model mơ hồ, yêu cầu chọn series.</t>
  </si>
  <si>
    <t xml:space="preserve">explain_series</t>
  </si>
  <si>
    <t xml:space="preserve">Giải thích dòng máy</t>
  </si>
  <si>
    <t xml:space="preserve">Hỏi công nghệ/nguyên lý/ứng dụng.</t>
  </si>
  <si>
    <t xml:space="preserve">Use Series + Selection_Tags + source notes</t>
  </si>
  <si>
    <t xml:space="preserve">Phân biệt mô tả nguồn và logic app.</t>
  </si>
  <si>
    <t xml:space="preserve">convert_fineness</t>
  </si>
  <si>
    <t xml:space="preserve">Quy đổi độ mịn</t>
  </si>
  <si>
    <t xml:space="preserve">Hỏi mesh/µm/mm.</t>
  </si>
  <si>
    <t xml:space="preserve">Use app converter / validated conversion table</t>
  </si>
  <si>
    <t xml:space="preserve">Nêu rằng mesh↔µm là giá trị gần đúng nếu dùng bảng quy đổi.</t>
  </si>
  <si>
    <t xml:space="preserve">process_hint</t>
  </si>
  <si>
    <t xml:space="preserve">Gợi ý quy trình</t>
  </si>
  <si>
    <t xml:space="preserve">Yêu cầu nghiền sơ bộ, hút bụi, khí nén, nitơ...</t>
  </si>
  <si>
    <t xml:space="preserve">Use requirements/rules and candidate series</t>
  </si>
  <si>
    <t xml:space="preserve">Không thiết kế hệ thống ngoài dữ liệu nếu chưa có thông số.</t>
  </si>
  <si>
    <t xml:space="preserve">section</t>
  </si>
  <si>
    <t xml:space="preserve">ROLE</t>
  </si>
  <si>
    <t xml:space="preserve">Bạn là trợ lý kỹ thuật cho module Máy nghiền của DTC Product. Nhiệm vụ là hiểu yêu cầu người dùng, truy vấn database và giải thích kết quả.</t>
  </si>
  <si>
    <t xml:space="preserve">SOURCE_OF_TRUTH</t>
  </si>
  <si>
    <t xml:space="preserve">Thông số model chỉ được lấy từ Models và Extra_Specs. Ứng dụng/nguyên lý lấy từ Series. Tương thích nguyên liệu lấy từ Materials + Material_Series_Map khi status=Verified.</t>
  </si>
  <si>
    <t xml:space="preserve">NO_HALLUCINATION</t>
  </si>
  <si>
    <t xml:space="preserve">Không tự tạo model, công suất, độ mịn, motor, kích thước, áp suất hoặc tính năng không có trong database.</t>
  </si>
  <si>
    <t xml:space="preserve">SELECTION</t>
  </si>
  <si>
    <t xml:space="preserve">Khi chọn máy, trước hết áp dụng hard filters về năng suất, kích thước đầu vào (nếu có dữ liệu), độ mịn/đơn vị; sau đó mới cộng/trừ điểm vật liệu.</t>
  </si>
  <si>
    <t xml:space="preserve">MISSING_INPUT</t>
  </si>
  <si>
    <t xml:space="preserve">Nếu thiếu thông tin quan trọng khiến không thể chọn model cụ thể, hỏi ngắn gọn phần còn thiếu thay vì đoán.</t>
  </si>
  <si>
    <t xml:space="preserve">OUTPUT</t>
  </si>
  <si>
    <t xml:space="preserve">Trả tối đa 3 ứng viên đầu tiên. Với mỗi ứng viên: model, dòng máy, dải công suất, độ mịn, lý do khớp, cảnh báo/điểm cần xác minh.</t>
  </si>
  <si>
    <t xml:space="preserve">CONFIDENCE</t>
  </si>
  <si>
    <t xml:space="preserve">Không gọi kết quả là 'đảm bảo phù hợp'. Dùng 'ứng viên phù hợp theo database' và nêu cần test mẫu khi hiệu suất phụ thuộc nguyên liệu.</t>
  </si>
  <si>
    <t xml:space="preserve">NO_MATCH</t>
  </si>
  <si>
    <t xml:space="preserve">Nếu không có model đáp ứng đầy đủ, nói rõ không có exact match; có thể hiển thị near-match nhưng phải chỉ rõ điều kiện nào không đạt.</t>
  </si>
  <si>
    <t xml:space="preserve">SPECIAL</t>
  </si>
  <si>
    <t xml:space="preserve">ASK/jet mill: hiển thị yêu cầu khí nén và cảnh báo đơn vị tiêu thụ khí nguồn cần xác minh. Cryogenic: nói rõ cần nitơ lỏng.</t>
  </si>
  <si>
    <t xml:space="preserve">example_id</t>
  </si>
  <si>
    <t xml:space="preserve">user_message</t>
  </si>
  <si>
    <t xml:space="preserve">intent</t>
  </si>
  <si>
    <t xml:space="preserve">structured_query_example</t>
  </si>
  <si>
    <t xml:space="preserve">expected_behavior</t>
  </si>
  <si>
    <t xml:space="preserve">EX-001</t>
  </si>
  <si>
    <t xml:space="preserve">Tôi cần nghiền tiêu 1 tấn/giờ, độ mịn 50 mesh, đầu vào 15 mm.</t>
  </si>
  <si>
    <t xml:space="preserve">{"material_name":"Tiêu","capacity_kg_h":1000,"fineness_value":50,"fineness_unit":"mesh","input_size_mm":15}</t>
  </si>
  <si>
    <t xml:space="preserve">PEPPER đang Needs validation: chỉ lọc kỹ thuật theo model; không tự suy luận đặc tính tiêu.</t>
  </si>
  <si>
    <t xml:space="preserve">EX-002</t>
  </si>
  <si>
    <t xml:space="preserve">Tôi cần nghiền vừng 200 kg/h khoảng 20 mesh.</t>
  </si>
  <si>
    <t xml:space="preserve">{"material_id":"SESAME","capacity_kg_h":200,"fineness_value":20,"fineness_unit":"mesh"}</t>
  </si>
  <si>
    <t xml:space="preserve">Có thể cộng điểm BS_ROLLER vì compatibility đã Verified từ PDF.</t>
  </si>
  <si>
    <t xml:space="preserve">EX-003</t>
  </si>
  <si>
    <t xml:space="preserve">So sánh ASP-450 và ASZ-450.</t>
  </si>
  <si>
    <t xml:space="preserve">{"models":["ASP-450","ASZ-450"]}</t>
  </si>
  <si>
    <t xml:space="preserve">Tra cứu exact model rồi so sánh; không suy đoán trường trống.</t>
  </si>
  <si>
    <t xml:space="preserve">EX-004</t>
  </si>
  <si>
    <t xml:space="preserve">ASK-300 cần khí nén bao nhiêu?</t>
  </si>
  <si>
    <t xml:space="preserve">{"model":"ASK-300","fields":["pressure","compressed_air_consumption"]}</t>
  </si>
  <si>
    <t xml:space="preserve">Hiển thị dữ liệu nguồn và cảnh báo đơn vị tiêu thụ khí cần xác minh.</t>
  </si>
  <si>
    <t xml:space="preserve">DTC PRODUCT – AI SELECTION ENGINE TEST</t>
  </si>
  <si>
    <t xml:space="preserve">Input</t>
  </si>
  <si>
    <t xml:space="preserve">Value</t>
  </si>
  <si>
    <t xml:space="preserve">Unit / Note</t>
  </si>
  <si>
    <t xml:space="preserve">Capacity</t>
  </si>
  <si>
    <t xml:space="preserve">Input size</t>
  </si>
  <si>
    <t xml:space="preserve">mm (để trống nếu chưa biết)</t>
  </si>
  <si>
    <t xml:space="preserve">Fineness</t>
  </si>
  <si>
    <t xml:space="preserve">Fineness unit</t>
  </si>
  <si>
    <t xml:space="preserve">mesh / µm / mm</t>
  </si>
  <si>
    <t xml:space="preserve">Material ID</t>
  </si>
  <si>
    <t xml:space="preserve">Chọn từ Materials.material_id</t>
  </si>
  <si>
    <t xml:space="preserve">Kết quả bên dưới là bộ lọc kỹ thuật thử nghiệm. Hãy filter cột Status và sort Total Score giảm dần. Material score chỉ dùng các dòng Verified.</t>
  </si>
  <si>
    <t xml:space="preserve">capacity_min</t>
  </si>
  <si>
    <t xml:space="preserve">capacity_max</t>
  </si>
  <si>
    <t xml:space="preserve">input_max_mm</t>
  </si>
  <si>
    <t xml:space="preserve">capacity_match</t>
  </si>
  <si>
    <t xml:space="preserve">input_match</t>
  </si>
  <si>
    <t xml:space="preserve">fineness_match</t>
  </si>
  <si>
    <t xml:space="preserve">technical_score</t>
  </si>
  <si>
    <t xml:space="preserve">material_adj</t>
  </si>
  <si>
    <t xml:space="preserve">NO MATCH</t>
  </si>
  <si>
    <t xml:space="preserve">STRONG CANDIDATE</t>
  </si>
  <si>
    <t xml:space="preserve">2.2.18</t>
  </si>
  <si>
    <t xml:space="preserve">Roller mill</t>
  </si>
  <si>
    <t xml:space="preserve">features_vi</t>
  </si>
  <si>
    <t xml:space="preserve">1. Nhiệt độ nghiền thấp: giảm nguy cơ cháy sém, mất mùi, biến màu và suy giảm chất dinh dưỡng.
2. Phạm vi nguyên liệu rộng: có 3 loại rotor có thể thay đổi, dùng cho ngũ cốc, gia vị, thảo dược và rau củ khô.
3. Dễ tháo vệ sinh: rotor tua-bin có thể tháo nhanh, thuận lợi vệ sinh và hạn chế nhiễm chéo giữa các mẻ.</t>
  </si>
  <si>
    <t xml:space="preserve">ASF_FITZ_MILL</t>
  </si>
  <si>
    <t xml:space="preserve">ASF</t>
  </si>
  <si>
    <t xml:space="preserve">Máy nghiền dược liệu</t>
  </si>
  <si>
    <t xml:space="preserve">Pharmaceutical Fitz Mill</t>
  </si>
  <si>
    <t xml:space="preserve">fitz_mill</t>
  </si>
  <si>
    <t xml:space="preserve">Sử dụng trong nhiều lĩnh vực như:
- Dược phẩm
- Thực phẩm
- Hóa chất
- Dược liệu
- Lá trà và các loại lá/thảo mộc khô
Các bộ phận tiếp xúc trực tiếp với nguyên liệu đều được làm bằng thép không gỉ, có khả năng chống ăn mòn tốt.
Thân máy được thiết kế kín hoàn toàn, giúp thuận tiện cho việc vệ sinh. Bề mặt bên trong được xử lý phẳng và nhẵn để đáp ứng tốt hơn các yêu cầu vệ sinh khi sản xuất dược phẩm, thực phẩm và hóa chất, theo định hướng tiêu chuẩn GMP mà nhà sản xuất đề cập.</t>
  </si>
  <si>
    <t xml:space="preserve">ASF là thiết bị nghiền tốc độ cao.
Nguyên liệu được nghiền nhờ các dao quay tốc độ cao. Dao có hai phía làm việc khác nhau:
- Một phía có cạnh sắc để cắt
- Phía còn lại hoạt động như dao va đập
Trong quá trình quay tốc độ cao, nguyên liệu liên tục bị:
Cắt → va đập → nghiền nhỏ → đi qua lưới sàng → thành phẩm
Nhà sản xuất cho biết có thể sử dụng dao với kích thước và hình dạng khác nhau tùy theo loại nguyên liệu. Kích thước bột thành phẩm được điều chỉnh bằng hai cách chính:
Thay lưới sàng hoặc thay đổi tốc độ quay.</t>
  </si>
  <si>
    <t xml:space="preserve">Dạng máy đơn (ASF-15, ASF-32); tách từ dòng ASF/AS.</t>
  </si>
  <si>
    <t xml:space="preserve">1. Dao quay tốc độ cao: Dao nghiền quay ở tốc độ cao để cắt và nghiền nguyên liệu cho đến khi kích thước hạt nhỏ hơn lỗ của tấm lưới sàng.
2. Có thể điều chỉnh tốc độ: Tốc độ quay có thể thay đổi để phù hợp với từng loại nguyên liệu và kích thước thành phẩm yêu cầu.
3. Sử dụng lưới đục lỗ: Máy sử dụng perforated plate screen – tấm sàng đục lỗ. Có thể lựa chọn kích thước lỗ sàng phù hợp với yêu cầu sản xuất.</t>
  </si>
  <si>
    <t xml:space="preserve">structure_vi</t>
  </si>
  <si>
    <t xml:space="preserve">Hệ thống gồm các bộ phận chính:
- Cụm máy nghiền
- Cyclone tách liệu
- Hộp thu bụi
- Quạt hút
- Tủ điều khiển điện
- Hệ thống đường ống kết nối
Máy sử dụng chuyển động tương đối giữa bộ phận cố định và búa/dao chuyển động để nghiền nguyên liệu bằng tác động va đập kết hợp lực ly tâm. Nhà sản xuất cho biết máy phù hợp với các nguyên liệu như tiêu, gia vị, hạt thì là...</t>
  </si>
  <si>
    <t xml:space="preserve">Theo Brightsail, bộ BSG self-priming grinding unit gồm:
- Máy nghiền chính
- Thiết bị phụ trợ
- Đường ống vận chuyển
- Tủ/thiết bị điều khiển điện
- Bộ cấp liệu
- Cyclone separator
- Bộ lọc túi / thu bụi
- Hệ thống hút khí
Máy phụ trợ sử dụng cyclone kết hợp bag filter và air collector để thu hồi bột và bụi mịn.</t>
  </si>
  <si>
    <t xml:space="preserve">Một bộ BSDF hoàn chỉnh gồm:
- Cụm nghiền
- Cyclone thu hồi sản phẩm
- Hệ thống thu bụi xung pulse
- Quạt hút
- Tủ điều khiển điện
Nguyên liệu đi vào buồng nghiền. Sau khi nghiền, luồng khí từ quạt đưa bột tới cyclone để tách và xả sản phẩm. Phần bột siêu mịn còn lại trong luồng khí được thu ở hộp lọc bụi. Toàn bộ quá trình được thiết kế làm việc liên tục và hạn chế phát sinh bụi.</t>
  </si>
  <si>
    <t xml:space="preserve">- Nghiền + phân ly trong cùng một máy
- Điều chỉnh kích thước hạt bằng lưu lượng khí và tốc độ rotor phân ly
- Có thể thay đổi độ mịn trong khi máy đang chạy
- Thiết kế gọn, tiết kiệm diện tích
- Có thể sử dụng kết hợp chiller công nghiệp
- Phân bố kích thước hạt hẹp
- Kiểm soát kích thước hạt lớn nhất tốt
- Dễ vệ sinh và bảo trì
- Tiêu thụ năng lượng riêng thấp</t>
  </si>
</sst>
</file>

<file path=xl/styles.xml><?xml version="1.0" encoding="utf-8"?>
<styleSheet xmlns="http://schemas.openxmlformats.org/spreadsheetml/2006/main">
  <fonts count="8">
    <font>
      <sz val="11"/>
      <name val="Carlito"/>
    </font>
    <font>
      <b/>
      <sz val="16"/>
      <color rgb="FFFFFFFF"/>
      <name val="Carlito"/>
    </font>
    <font>
      <sz val="11"/>
      <color rgb="FF6B5300"/>
      <name val="Carlito"/>
    </font>
    <font>
      <b/>
      <sz val="11"/>
      <color rgb="FFFFFFFF"/>
      <name val="Carlito"/>
    </font>
    <font>
      <b/>
      <sz val="15"/>
      <color rgb="FFFFFFFF"/>
      <name val="Carlito"/>
    </font>
    <font>
      <b/>
      <sz val="11"/>
      <color rgb="FF0F5132"/>
      <name val="Carlito"/>
    </font>
    <font/>
    <font/>
    <font/>
    <font/>
    <font/>
  </fonts>
  <fills count="9">
    <fill>
      <patternFill patternType="none"/>
    </fill>
    <fill>
      <patternFill patternType="gray125"/>
    </fill>
    <fill>
      <patternFill patternType="solid">
        <fgColor rgb="FF0F6B3E"/>
      </patternFill>
    </fill>
    <fill>
      <patternFill patternType="solid">
        <fgColor rgb="FFFFF7D6"/>
      </patternFill>
    </fill>
    <fill>
      <patternFill patternType="solid">
        <fgColor rgb="FF15824B"/>
      </patternFill>
    </fill>
    <fill>
      <patternFill patternType="solid">
        <fgColor rgb="FF15824B"/>
      </patternFill>
    </fill>
    <fill>
      <patternFill patternType="solid">
        <fgColor rgb="FF0F6B3E"/>
      </patternFill>
    </fill>
    <fill>
      <patternFill patternType="solid">
        <fgColor rgb="FFFFF7D6"/>
      </patternFill>
    </fill>
    <fill>
      <patternFill patternType="solid">
        <fgColor rgb="FFDDEFE4"/>
      </patternFill>
    </fill>
  </fills>
  <borders count="26">
    <border/>
    <border/>
    <border/>
    <border/>
    <border/>
    <border/>
    <border/>
    <border/>
    <border/>
    <border/>
    <border/>
    <border/>
    <border/>
    <border/>
    <border/>
    <border/>
    <border/>
    <border/>
    <border>
      <left/>
      <top/>
    </border>
    <border>
      <top/>
    </border>
    <border>
      <right/>
      <top/>
    </border>
    <border>
      <left/>
    </border>
    <border>
      <right/>
    </border>
    <border>
      <left/>
      <bottom/>
    </border>
    <border>
      <bottom/>
    </border>
    <border>
      <right/>
      <bottom/>
    </border>
  </borders>
  <cellStyleXfs count="1">
    <xf numFmtId="0" fontId="0" fillId="0" borderId="0"/>
  </cellStyleXfs>
  <cellXfs count="164">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left"/>
    </xf>
    <xf numFmtId="0" fontId="1" fillId="2" borderId="0" xfId="0" applyNumberFormat="1" applyFont="1" applyFill="1" applyBorder="1" applyAlignment="1">
      <alignment horizontal="left"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horizontal="left"/>
    </xf>
    <xf numFmtId="0" fontId="1" fillId="2" borderId="1" xfId="0" applyNumberFormat="1" applyFont="1" applyFill="1" applyBorder="1" applyAlignment="1">
      <alignment horizontal="left"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wrapText="1"/>
    </xf>
    <xf numFmtId="0" fontId="3" fillId="4" borderId="0" xfId="0" applyNumberFormat="1" applyFont="1" applyFill="1" applyBorder="1" applyAlignment="1">
      <alignment horizontal="center" wrapText="1"/>
    </xf>
    <xf numFmtId="0" fontId="3" fillId="4" borderId="0" xfId="0" applyNumberFormat="1" applyFont="1" applyFill="1" applyBorder="1" applyAlignment="1">
      <alignment horizontal="center" vertical="center" wrapText="1"/>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wrapText="1"/>
    </xf>
    <xf numFmtId="0" fontId="3" fillId="4" borderId="1" xfId="0" applyNumberFormat="1" applyFont="1" applyFill="1" applyBorder="1" applyAlignment="1">
      <alignment horizontal="center" wrapText="1"/>
    </xf>
    <xf numFmtId="0" fontId="3" fillId="4" borderId="1" xfId="0" applyNumberFormat="1" applyFont="1" applyFill="1" applyBorder="1" applyAlignment="1">
      <alignment horizontal="center" vertical="center" wrapText="1"/>
    </xf>
    <xf numFmtId="0" fontId="1" fillId="2" borderId="0" xfId="0" applyNumberFormat="1" applyFont="1" applyFill="1" applyBorder="1" applyAlignment="1">
      <alignment horizontal="left" vertical="center" wrapText="1"/>
    </xf>
    <xf numFmtId="0" fontId="0" fillId="0" borderId="0" xfId="0" applyNumberFormat="1" applyFont="1" applyFill="1" applyBorder="1" applyAlignment="1">
      <alignment wrapText="1"/>
    </xf>
    <xf numFmtId="0" fontId="1" fillId="2" borderId="1" xfId="0" applyNumberFormat="1" applyFont="1" applyFill="1" applyBorder="1" applyAlignment="1">
      <alignment horizontal="left" vertical="center" wrapText="1"/>
    </xf>
    <xf numFmtId="0" fontId="0" fillId="0" borderId="1" xfId="0" applyNumberFormat="1" applyFont="1" applyFill="1" applyBorder="1" applyAlignment="1">
      <alignment wrapText="1"/>
    </xf>
    <xf numFmtId="0" fontId="3" fillId="4" borderId="2" xfId="0" applyNumberFormat="1" applyFont="1" applyFill="1" applyBorder="1" applyAlignment="1">
      <alignment horizontal="center" vertical="center" wrapText="1"/>
    </xf>
    <xf numFmtId="0" fontId="3" fillId="4" borderId="3" xfId="0" applyNumberFormat="1" applyFont="1" applyFill="1" applyBorder="1" applyAlignment="1">
      <alignment horizontal="center" vertical="center" wrapText="1"/>
    </xf>
    <xf numFmtId="0" fontId="3" fillId="4" borderId="4" xfId="0" applyNumberFormat="1" applyFont="1" applyFill="1" applyBorder="1" applyAlignment="1">
      <alignment horizontal="center" vertical="center" wrapText="1"/>
    </xf>
    <xf numFmtId="0" fontId="0" fillId="0" borderId="5" xfId="0" applyNumberFormat="1" applyFont="1" applyFill="1" applyBorder="1"/>
    <xf numFmtId="0" fontId="0" fillId="0" borderId="0" xfId="0" applyNumberFormat="1" applyFont="1" applyFill="1" applyBorder="1"/>
    <xf numFmtId="0" fontId="0" fillId="0" borderId="6" xfId="0" applyNumberFormat="1" applyFont="1" applyFill="1" applyBorder="1"/>
    <xf numFmtId="0" fontId="0" fillId="0" borderId="7" xfId="0" applyNumberFormat="1" applyFont="1" applyFill="1" applyBorder="1"/>
    <xf numFmtId="0" fontId="0" fillId="0" borderId="8" xfId="0" applyNumberFormat="1" applyFont="1" applyFill="1" applyBorder="1"/>
    <xf numFmtId="0" fontId="0" fillId="0" borderId="9" xfId="0" applyNumberFormat="1" applyFont="1" applyFill="1" applyBorder="1"/>
    <xf numFmtId="0" fontId="3" fillId="4" borderId="10" xfId="0" applyNumberFormat="1" applyFont="1" applyFill="1" applyBorder="1" applyAlignment="1">
      <alignment horizontal="center" vertical="center" wrapText="1"/>
    </xf>
    <xf numFmtId="0" fontId="3" fillId="4" borderId="11" xfId="0" applyNumberFormat="1" applyFont="1" applyFill="1" applyBorder="1" applyAlignment="1">
      <alignment horizontal="center" vertical="center" wrapText="1"/>
    </xf>
    <xf numFmtId="0" fontId="3" fillId="4" borderId="12" xfId="0" applyNumberFormat="1" applyFont="1" applyFill="1" applyBorder="1" applyAlignment="1">
      <alignment horizontal="center" vertical="center" wrapText="1"/>
    </xf>
    <xf numFmtId="0" fontId="0" fillId="0" borderId="13" xfId="0" applyNumberFormat="1" applyFont="1" applyFill="1" applyBorder="1"/>
    <xf numFmtId="0" fontId="0" fillId="0" borderId="14" xfId="0" applyNumberFormat="1" applyFont="1" applyFill="1" applyBorder="1"/>
    <xf numFmtId="0" fontId="0" fillId="0" borderId="15" xfId="0" applyNumberFormat="1" applyFont="1" applyFill="1" applyBorder="1"/>
    <xf numFmtId="0" fontId="0" fillId="0" borderId="16" xfId="0" applyNumberFormat="1" applyFont="1" applyFill="1" applyBorder="1"/>
    <xf numFmtId="0" fontId="0" fillId="0" borderId="17" xfId="0" applyNumberFormat="1" applyFont="1" applyFill="1" applyBorder="1"/>
    <xf numFmtId="0" fontId="0" fillId="0" borderId="5" xfId="0" applyNumberFormat="1" applyFont="1" applyFill="1" applyBorder="1" applyAlignment="1">
      <alignment wrapText="1"/>
    </xf>
    <xf numFmtId="0" fontId="0" fillId="0" borderId="6" xfId="0" applyNumberFormat="1" applyFont="1" applyFill="1" applyBorder="1" applyAlignment="1">
      <alignment wrapText="1"/>
    </xf>
    <xf numFmtId="0"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0" fillId="0" borderId="9" xfId="0" applyNumberFormat="1" applyFont="1" applyFill="1" applyBorder="1" applyAlignment="1">
      <alignment wrapText="1"/>
    </xf>
    <xf numFmtId="0" fontId="0" fillId="0" borderId="0" xfId="0">
      <extLst>
        <ext uri="{C7286773-470A-42A8-94C5-96B5CB345126}">
          <xfpb:xfComplement xmlns:xfpb="http://schemas.microsoft.com/office/spreadsheetml/2022/featurepropertybag" i="0"/>
        </ext>
      </extLst>
    </xf>
    <xf numFmtId="0" fontId="0" fillId="0" borderId="13" xfId="0" applyNumberFormat="1" applyFont="1" applyFill="1" applyBorder="1" applyAlignment="1">
      <alignment wrapText="1"/>
    </xf>
    <xf numFmtId="0" fontId="0" fillId="0" borderId="14" xfId="0" applyNumberFormat="1" applyFont="1" applyFill="1" applyBorder="1" applyAlignment="1">
      <alignment wrapText="1"/>
    </xf>
    <xf numFmtId="0" fontId="0" fillId="0" borderId="15" xfId="0" applyNumberFormat="1" applyFont="1" applyFill="1" applyBorder="1" applyAlignment="1">
      <alignment wrapText="1"/>
    </xf>
    <xf numFmtId="0" fontId="0" fillId="0" borderId="16" xfId="0" applyNumberFormat="1" applyFont="1" applyFill="1" applyBorder="1" applyAlignment="1">
      <alignment wrapText="1"/>
    </xf>
    <xf numFmtId="0" fontId="0" fillId="0" borderId="17" xfId="0" applyNumberFormat="1" applyFont="1" applyFill="1" applyBorder="1" applyAlignment="1">
      <alignment wrapText="1"/>
    </xf>
    <xf numFmtId="0" fontId="0" fillId="0" borderId="1" xfId="0" applyNumberFormat="1" applyFont="1" applyFill="1" applyBorder="1">
      <extLst>
        <ext uri="{C7286773-470A-42A8-94C5-96B5CB345126}">
          <xfpb:xfComplement xmlns:xfpb="http://schemas.microsoft.com/office/spreadsheetml/2022/featurepropertybag" i="0"/>
        </ext>
      </extLst>
    </xf>
    <xf numFmtId="0" fontId="0" fillId="0" borderId="0" xfId="0" applyNumberFormat="1" applyFont="1" applyFill="1" applyBorder="1">
      <extLst>
        <ext uri="{C7286773-470A-42A8-94C5-96B5CB345126}">
          <xfpb:xfComplement xmlns:xfpb="http://schemas.microsoft.com/office/spreadsheetml/2022/featurepropertybag" i="0"/>
        </ext>
      </extLst>
    </xf>
    <xf numFmtId="0" fontId="0" fillId="0" borderId="8" xfId="0" applyNumberFormat="1" applyFont="1" applyFill="1" applyBorder="1">
      <extLst>
        <ext uri="{C7286773-470A-42A8-94C5-96B5CB345126}">
          <xfpb:xfComplement xmlns:xfpb="http://schemas.microsoft.com/office/spreadsheetml/2022/featurepropertybag" i="0"/>
        </ext>
      </extLst>
    </xf>
    <xf numFmtId="0" fontId="0" fillId="0" borderId="16" xfId="0" applyNumberFormat="1" applyFont="1" applyFill="1" applyBorder="1">
      <extLst>
        <ext uri="{C7286773-470A-42A8-94C5-96B5CB345126}">
          <xfpb:xfComplement xmlns:xfpb="http://schemas.microsoft.com/office/spreadsheetml/2022/featurepropertybag" i="0"/>
        </ext>
      </extLst>
    </xf>
    <xf numFmtId="0" fontId="0" fillId="0" borderId="0"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8"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1"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16"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18" xfId="0" applyNumberFormat="1" applyFont="1" applyFill="1" applyBorder="1"/>
    <xf numFmtId="0" fontId="0" fillId="0" borderId="19" xfId="0" applyNumberFormat="1" applyFont="1" applyFill="1" applyBorder="1"/>
    <xf numFmtId="0" fontId="0" fillId="0" borderId="20" xfId="0" applyNumberFormat="1" applyFont="1" applyFill="1" applyBorder="1"/>
    <xf numFmtId="0" fontId="0" fillId="0" borderId="21" xfId="0" applyNumberFormat="1" applyFont="1" applyFill="1" applyBorder="1"/>
    <xf numFmtId="0" fontId="0" fillId="0" xfId="0" applyNumberFormat="1" applyFont="1" applyFill="1" applyBorder="0"/>
    <xf numFmtId="0" fontId="0" fillId="0" xfId="0" applyNumberFormat="1" applyFont="1" applyFill="1" applyBorder="0">
      <extLst>
        <ext uri="{C7286773-470A-42A8-94C5-96B5CB345126}">
          <xfpb:xfComplement xmlns:xfpb="http://schemas.microsoft.com/office/spreadsheetml/2022/featurepropertybag" i="0"/>
        </ext>
      </extLst>
    </xf>
    <xf numFmtId="0" fontId="0" fillId="0" borderId="22" xfId="0" applyNumberFormat="1" applyFont="1" applyFill="1" applyBorder="1"/>
    <xf numFmtId="0" fontId="0" fillId="0" borderId="23" xfId="0" applyNumberFormat="1" applyFont="1" applyFill="1" applyBorder="1"/>
    <xf numFmtId="0" fontId="0" fillId="0" borderId="24" xfId="0" applyNumberFormat="1" applyFont="1" applyFill="1" applyBorder="1"/>
    <xf numFmtId="0" fontId="0" fillId="0" borderId="25" xfId="0" applyNumberFormat="1" applyFont="1" applyFill="1" applyBorder="1"/>
    <xf numFmtId="0" fontId="0" fillId="0" borderId="18" xfId="0" applyNumberFormat="1" applyFont="1" applyFill="1" applyBorder="1" applyAlignment="1">
      <alignment wrapText="1"/>
    </xf>
    <xf numFmtId="0" fontId="0" fillId="0" borderId="19" xfId="0" applyNumberFormat="1" applyFont="1" applyFill="1" applyBorder="1" applyAlignment="1">
      <alignment wrapText="1"/>
    </xf>
    <xf numFmtId="0" fontId="0" fillId="0" borderId="20" xfId="0" applyNumberFormat="1" applyFont="1" applyFill="1" applyBorder="1" applyAlignment="1">
      <alignment wrapText="1"/>
    </xf>
    <xf numFmtId="0" fontId="0" fillId="0" borderId="21" xfId="0" applyNumberFormat="1" applyFont="1" applyFill="1" applyBorder="1" applyAlignment="1">
      <alignment wrapText="1"/>
    </xf>
    <xf numFmtId="0" fontId="0" fillId="0" xfId="0" applyNumberFormat="1" applyFont="1" applyFill="1" applyBorder="0" applyAlignment="1">
      <alignment wrapText="1"/>
    </xf>
    <xf numFmtId="0" fontId="0" fillId="0" xfId="0" applyNumberFormat="1" applyFont="1" applyFill="1" applyBorder="0" applyAlignment="1">
      <alignment wrapText="1"/>
      <extLst>
        <ext uri="{C7286773-470A-42A8-94C5-96B5CB345126}">
          <xfpb:xfComplement xmlns:xfpb="http://schemas.microsoft.com/office/spreadsheetml/2022/featurepropertybag" i="0"/>
        </ext>
      </extLst>
    </xf>
    <xf numFmtId="0" fontId="0" fillId="0" borderId="22" xfId="0" applyNumberFormat="1" applyFont="1" applyFill="1" applyBorder="1" applyAlignment="1">
      <alignment wrapText="1"/>
    </xf>
    <xf numFmtId="0" fontId="0" fillId="0" borderId="23" xfId="0" applyNumberFormat="1" applyFont="1" applyFill="1" applyBorder="1" applyAlignment="1">
      <alignment wrapText="1"/>
    </xf>
    <xf numFmtId="0" fontId="0" fillId="0" borderId="24" xfId="0" applyNumberFormat="1" applyFont="1" applyFill="1" applyBorder="1" applyAlignment="1">
      <alignment wrapText="1"/>
    </xf>
    <xf numFmtId="0" fontId="0" fillId="0" borderId="25" xfId="0" applyNumberFormat="1" applyFont="1" applyFill="1" applyBorder="1" applyAlignment="1">
      <alignment wrapText="1"/>
    </xf>
    <xf numFmtId="0" fontId="0" fillId="5" borderId="18" xfId="0" applyNumberFormat="1" applyFont="1" applyFill="1" applyBorder="1" applyAlignment="1">
      <alignment wrapText="1"/>
    </xf>
    <xf numFmtId="0" fontId="0" fillId="5" borderId="19" xfId="0" applyNumberFormat="1" applyFont="1" applyFill="1" applyBorder="1" applyAlignment="1">
      <alignment wrapText="1"/>
    </xf>
    <xf numFmtId="0" fontId="0" fillId="5" borderId="20" xfId="0" applyNumberFormat="1" applyFont="1" applyFill="1" applyBorder="1" applyAlignment="1">
      <alignment wrapText="1"/>
    </xf>
    <xf numFmtId="0" fontId="3" fillId="5" borderId="18" xfId="0" applyNumberFormat="1" applyFont="1" applyFill="1" applyBorder="1" applyAlignment="1">
      <alignment wrapText="1"/>
    </xf>
    <xf numFmtId="0" fontId="3" fillId="5" borderId="19" xfId="0" applyNumberFormat="1" applyFont="1" applyFill="1" applyBorder="1" applyAlignment="1">
      <alignment wrapText="1"/>
    </xf>
    <xf numFmtId="0" fontId="3" fillId="5" borderId="20" xfId="0" applyNumberFormat="1" applyFont="1" applyFill="1" applyBorder="1" applyAlignment="1">
      <alignment wrapText="1"/>
    </xf>
    <xf numFmtId="0" fontId="3" fillId="5" borderId="18" xfId="0" applyNumberFormat="1" applyFont="1" applyFill="1" applyBorder="1" applyAlignment="1">
      <alignment horizontal="center" wrapText="1"/>
    </xf>
    <xf numFmtId="0" fontId="3" fillId="5" borderId="19" xfId="0" applyNumberFormat="1" applyFont="1" applyFill="1" applyBorder="1" applyAlignment="1">
      <alignment horizontal="center" wrapText="1"/>
    </xf>
    <xf numFmtId="0" fontId="3" fillId="5" borderId="20" xfId="0" applyNumberFormat="1" applyFont="1" applyFill="1" applyBorder="1" applyAlignment="1">
      <alignment horizontal="center" wrapText="1"/>
    </xf>
    <xf numFmtId="0" fontId="3" fillId="5" borderId="18" xfId="0" applyNumberFormat="1" applyFont="1" applyFill="1" applyBorder="1" applyAlignment="1">
      <alignment horizontal="center" vertical="center" wrapText="1"/>
    </xf>
    <xf numFmtId="0" fontId="3" fillId="5" borderId="19" xfId="0" applyNumberFormat="1" applyFont="1" applyFill="1" applyBorder="1" applyAlignment="1">
      <alignment horizontal="center" vertical="center" wrapText="1"/>
    </xf>
    <xf numFmtId="0" fontId="3" fillId="5" borderId="20" xfId="0" applyNumberFormat="1" applyFont="1" applyFill="1" applyBorder="1" applyAlignment="1">
      <alignment horizontal="center" vertical="center" wrapText="1"/>
    </xf>
    <xf numFmtId="0" fontId="0" fillId="0" borderId="22" xfId="0" applyNumberFormat="1" applyFont="1" applyFill="1" applyBorder="1">
      <extLst>
        <ext uri="{C7286773-470A-42A8-94C5-96B5CB345126}">
          <xfpb:xfComplement xmlns:xfpb="http://schemas.microsoft.com/office/spreadsheetml/2022/featurepropertybag" i="0"/>
        </ext>
      </extLst>
    </xf>
    <xf numFmtId="0" fontId="0" fillId="0" borderId="24" xfId="0" applyNumberFormat="1" applyFont="1" applyFill="1" applyBorder="1">
      <extLst>
        <ext uri="{C7286773-470A-42A8-94C5-96B5CB345126}">
          <xfpb:xfComplement xmlns:xfpb="http://schemas.microsoft.com/office/spreadsheetml/2022/featurepropertybag" i="0"/>
        </ext>
      </extLst>
    </xf>
    <xf numFmtId="0" fontId="0" fillId="0" borderId="25" xfId="0" applyNumberFormat="1" applyFont="1" applyFill="1" applyBorder="1">
      <extLst>
        <ext uri="{C7286773-470A-42A8-94C5-96B5CB345126}">
          <xfpb:xfComplement xmlns:xfpb="http://schemas.microsoft.com/office/spreadsheetml/2022/featurepropertybag" i="0"/>
        </ext>
      </extLst>
    </xf>
    <xf numFmtId="0" fontId="0" fillId="0" borderId="22"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24" xfId="0" applyNumberFormat="1" applyFont="1" applyFill="1" applyBorder="1" applyAlignment="1">
      <alignment wrapText="1"/>
      <extLst>
        <ext uri="{C7286773-470A-42A8-94C5-96B5CB345126}">
          <xfpb:xfComplement xmlns:xfpb="http://schemas.microsoft.com/office/spreadsheetml/2022/featurepropertybag" i="0"/>
        </ext>
      </extLst>
    </xf>
    <xf numFmtId="0" fontId="0" fillId="0" borderId="25" xfId="0" applyNumberFormat="1" applyFont="1" applyFill="1" applyBorder="1" applyAlignment="1">
      <alignment wrapText="1"/>
      <extLst>
        <ext uri="{C7286773-470A-42A8-94C5-96B5CB345126}">
          <xfpb:xfComplement xmlns:xfpb="http://schemas.microsoft.com/office/spreadsheetml/2022/featurepropertybag" i="0"/>
        </ext>
      </extLst>
    </xf>
    <xf numFmtId="0" fontId="0" fillId="6" borderId="0" xfId="0" applyNumberFormat="1" applyFont="1" applyFill="1" applyBorder="1"/>
    <xf numFmtId="0" fontId="4" fillId="6" borderId="0" xfId="0" applyNumberFormat="1" applyFont="1" applyFill="1" applyBorder="1"/>
    <xf numFmtId="0" fontId="4" fillId="6" borderId="0" xfId="0" applyNumberFormat="1" applyFont="1" applyFill="1" applyBorder="1" applyAlignment="1">
      <alignment horizontal="left"/>
    </xf>
    <xf numFmtId="0" fontId="4" fillId="6" borderId="0" xfId="0" applyNumberFormat="1" applyFont="1" applyFill="1" applyBorder="1" applyAlignment="1">
      <alignment horizontal="left" vertical="center"/>
    </xf>
    <xf numFmtId="0" fontId="0" fillId="5" borderId="0" xfId="0" applyNumberFormat="1" applyFont="1" applyFill="1" applyBorder="1"/>
    <xf numFmtId="0" fontId="3" fillId="5" borderId="0" xfId="0" applyNumberFormat="1" applyFont="1" applyFill="1" applyBorder="1"/>
    <xf numFmtId="0" fontId="3" fillId="5" borderId="0" xfId="0" applyNumberFormat="1" applyFont="1" applyFill="1" applyBorder="1" applyAlignment="1">
      <alignment wrapText="1"/>
    </xf>
    <xf numFmtId="0" fontId="3" fillId="5" borderId="0" xfId="0" applyNumberFormat="1" applyFont="1" applyFill="1" applyBorder="1" applyAlignment="1">
      <alignment horizontal="center" wrapText="1"/>
    </xf>
    <xf numFmtId="0" fontId="3" fillId="5" borderId="0" xfId="0" applyNumberFormat="1" applyFont="1" applyFill="1" applyBorder="1" applyAlignment="1">
      <alignment horizontal="center" vertical="center" wrapText="1"/>
    </xf>
    <xf numFmtId="0" fontId="0" fillId="7" borderId="0" xfId="0" applyNumberFormat="1" applyFont="1" applyFill="1" applyBorder="1"/>
    <xf numFmtId="0" fontId="2" fillId="7" borderId="0" xfId="0" applyNumberFormat="1" applyFont="1" applyFill="1" applyBorder="1"/>
    <xf numFmtId="0" fontId="2" fillId="7" borderId="0" xfId="0" applyNumberFormat="1" applyFont="1" applyFill="1" applyBorder="1" applyAlignment="1">
      <alignment wrapText="1"/>
    </xf>
    <xf numFmtId="0" fontId="0" fillId="8" borderId="0" xfId="0" applyNumberFormat="1" applyFont="1" applyFill="1" applyBorder="1" applyAlignment="1">
      <alignment wrapText="1"/>
    </xf>
    <xf numFmtId="0" fontId="5" fillId="8" borderId="0" xfId="0" applyNumberFormat="1" applyFont="1" applyFill="1" applyBorder="1" applyAlignment="1">
      <alignment wrapText="1"/>
    </xf>
    <xf numFmtId="0" fontId="0" fillId="8" borderId="0" xfId="0" applyNumberFormat="1" applyFont="1" applyFill="1" applyBorder="1"/>
    <xf numFmtId="0" fontId="5" fillId="8" borderId="0" xfId="0" applyNumberFormat="1" applyFont="1" applyFill="1" applyBorder="1"/>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Fill="1" applyAlignment="1">
      <alignment wrapText="1"/>
    </xf>
    <xf borderId="0" fillId="0" fontId="0" numFmtId="0" xfId="0" applyFill="1" applyAlignment="1">
      <alignment wrapText="1"/>
    </xf>
    <xf borderId="0" fillId="0" fontId="6" numFmtId="0" xfId="0"/>
    <xf borderId="0" fillId="0" fontId="0" numFmtId="0" xfId="0"/>
    <xf borderId="0" fillId="0" fontId="0" numFmtId="0" xfId="0" applyFill="1"/>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Fill="1" applyAlignment="1">
      <alignment wrapText="1"/>
    </xf>
    <xf borderId="0" fillId="0" fontId="7" numFmtId="0" xfId="0"/>
    <xf borderId="0" fillId="0" fontId="0" numFmtId="0" xfId="0" applyFill="1" applyAlignment="1">
      <alignment wrapText="1"/>
    </xf>
    <xf borderId="0" fillId="0" fontId="0" numFmtId="0" xfId="0"/>
    <xf borderId="0" fillId="0" fontId="0" numFmtId="0" xfId="0"/>
    <xf borderId="0" fillId="0" fontId="0" numFmtId="0" xfId="0" applyFill="1"/>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applyFill="1" applyAlignment="1">
      <alignment wrapText="1"/>
    </xf>
    <xf borderId="0" fillId="0" fontId="7" numFmtId="0" xfId="0"/>
    <xf borderId="0" fillId="0" fontId="0" numFmtId="0" xfId="0"/>
    <xf borderId="0" fillId="0" fontId="0" numFmtId="0" xfId="0" applyFill="1"/>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Fill="1" applyAlignment="1">
      <alignment wrapText="1"/>
    </xf>
    <xf borderId="0" fillId="0" fontId="7" numFmtId="0" xfId="0"/>
    <xf borderId="0" fillId="0" fontId="0" numFmtId="0" xfId="0" applyFill="1" applyAlignment="1">
      <alignment wrapText="1"/>
    </xf>
    <xf borderId="0" fillId="0" fontId="0" numFmtId="0" xfId="0"/>
    <xf borderId="0" fillId="0" fontId="0" numFmtId="0" xfId="0"/>
    <xf borderId="0" fillId="0" fontId="0" numFmtId="0" xfId="0" applyFill="1"/>
    <xf borderId="0" fillId="0" fontId="0" numFmtId="0" xfId="0" applyFill="1" applyAlignment="1">
      <alignment wrapText="1"/>
    </xf>
    <xf borderId="0" fillId="0" fontId="0" numFmtId="0" xfId="0" applyAlignment="1">
      <alignment wrapText="1"/>
    </xf>
    <xf borderId="0" fillId="0" fontId="0" numFmtId="0" xfId="0" applyFill="1" applyAlignment="1">
      <alignment wrapText="1"/>
    </xf>
    <xf borderId="0" fillId="0" fontId="0" numFmtId="0" xfId="0" applyFill="1" applyAlignment="1">
      <alignment wrapText="1"/>
    </xf>
    <xf borderId="0" fillId="0" fontId="0" numFmtId="0" xfId="0"/>
    <xf borderId="0" fillId="0" fontId="0" numFmtId="0" xfId="0" applyFill="1" applyAlignment="1">
      <alignment wrapText="1"/>
    </xf>
    <xf borderId="0" fillId="0" fontId="7" numFmtId="0" xfId="0"/>
    <xf borderId="0" fillId="0" fontId="0" numFmtId="0" xfId="0"/>
    <xf borderId="0" fillId="0" fontId="0" numFmtId="0" xfId="0" applyFill="1"/>
  </cellXfs>
  <cellStyles count="1">
    <cellStyle name="Normal" xfId="0"/>
  </cellStyles>
  <dxfs count="4">
    <dxf>
      <font>
        <b/>
        <color rgb="FFB91C1C"/>
      </font>
      <fill>
        <patternFill>
          <bgColor rgb="FFFDE2E2"/>
        </patternFill>
      </fill>
    </dxf>
    <dxf>
      <font>
        <b/>
        <color rgb="FF137333"/>
      </font>
      <fill>
        <patternFill>
          <bgColor rgb="FFE6F4EA"/>
        </patternFill>
      </fill>
    </dxf>
    <dxf>
      <font>
        <b/>
        <color rgb="FF166534"/>
      </font>
      <fill>
        <patternFill patternType="solid">
          <bgColor rgb="FFDCFCE7"/>
        </patternFill>
      </fill>
    </dxf>
    <dxf>
      <font>
        <color rgb="FF991B1B"/>
      </font>
      <fill>
        <patternFill patternType="solid">
          <bgColor rgb="FFFEE2E2"/>
        </patternFill>
      </fill>
    </dxf>
  </dxfs>
</styleSheet>
</file>

<file path=xl/_rels/workbook.xml.rels><?xml version="1.0" encoding="utf-8"?><Relationships xmlns="http://schemas.openxmlformats.org/package/2006/relationships"><Relationship Type="http://schemas.openxmlformats.org/officeDocument/2006/relationships/styles" Target="styles.xml" Id="R804f0aa9ad2240a6"/><Relationship Type="http://schemas.openxmlformats.org/officeDocument/2006/relationships/theme" Target="theme/theme1.xml" Id="R64cb39eb6c904332"/><Relationship Type="http://schemas.microsoft.com/office/2022/11/relationships/FeaturePropertyBag" Target="featurePropertyBag/featurePropertyBag.xml" Id="Red910d15f38545c0"/><Relationship Type="http://schemas.openxmlformats.org/officeDocument/2006/relationships/sharedStrings" Target="sharedStrings.xml" Id="R3ef4ac0b50e54d5e"/><Relationship Type="http://schemas.openxmlformats.org/officeDocument/2006/relationships/worksheet" Target="worksheets/sheet1.xml" Id="Re5f0532521004049"/><Relationship Type="http://schemas.openxmlformats.org/officeDocument/2006/relationships/worksheet" Target="worksheets/sheet2.xml" Id="Rd2c52754a4ac46a9"/><Relationship Type="http://schemas.openxmlformats.org/officeDocument/2006/relationships/worksheet" Target="worksheets/sheet3.xml" Id="R3d15cd77e8984c46"/><Relationship Type="http://schemas.openxmlformats.org/officeDocument/2006/relationships/worksheet" Target="worksheets/sheet4.xml" Id="Rf7b5fbde68fa4443"/><Relationship Type="http://schemas.openxmlformats.org/officeDocument/2006/relationships/worksheet" Target="worksheets/sheet5.xml" Id="R37f70c7cf945417e"/><Relationship Type="http://schemas.openxmlformats.org/officeDocument/2006/relationships/worksheet" Target="worksheets/sheet6.xml" Id="R5cdd8da55e174dc5"/><Relationship Type="http://schemas.openxmlformats.org/officeDocument/2006/relationships/worksheet" Target="worksheets/sheet7.xml" Id="Rba5e0ea5f2024ed3"/><Relationship Type="http://schemas.openxmlformats.org/officeDocument/2006/relationships/worksheet" Target="worksheets/sheet8.xml" Id="Ra3d890b039d14b24"/><Relationship Type="http://schemas.openxmlformats.org/officeDocument/2006/relationships/worksheet" Target="worksheets/sheet9.xml" Id="Rf7f8f44c4e114950"/><Relationship Type="http://schemas.openxmlformats.org/officeDocument/2006/relationships/worksheet" Target="worksheets/sheet10.xml" Id="R002be46197e84301"/><Relationship Type="http://schemas.openxmlformats.org/officeDocument/2006/relationships/worksheet" Target="worksheets/sheet11.xml" Id="Rbb4ce21e98a54f56"/><Relationship Type="http://schemas.openxmlformats.org/officeDocument/2006/relationships/worksheet" Target="worksheets/sheet12.xml" Id="R61a097afd37c4bbc"/><Relationship Type="http://schemas.openxmlformats.org/officeDocument/2006/relationships/worksheet" Target="worksheets/sheet13.xml" Id="R8d9653147acd4b14"/><Relationship Type="http://schemas.openxmlformats.org/officeDocument/2006/relationships/worksheet" Target="worksheets/sheet14.xml" Id="R6cb7ee72d5b04bb8"/><Relationship Type="http://schemas.openxmlformats.org/officeDocument/2006/relationships/worksheet" Target="worksheets/sheet15.xml" Id="R3e131a0156fb4995"/><Relationship Type="http://schemas.openxmlformats.org/officeDocument/2006/relationships/worksheet" Target="worksheets/sheet16.xml" Id="Rcf6c4a48a7e54977"/><Relationship Type="http://schemas.openxmlformats.org/officeDocument/2006/relationships/worksheet" Target="worksheets/sheet17.xml" Id="R392ebc86375649fd"/><Relationship Type="http://schemas.openxmlformats.org/officeDocument/2006/relationships/worksheet" Target="worksheets/sheet18.xml" Id="R3302837f01204a63"/></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id="1" name="SeriesTable" displayName="SeriesTable" ref="A1:I13" headerRowCount="1" totalsRowCount="0" totalsRowShown="0">
  <tableColumns count="9">
    <tableColumn id="1" name="series_code"/>
    <tableColumn id="2" name="display_code"/>
    <tableColumn id="3" name="name_vi"/>
    <tableColumn id="4" name="name_en"/>
    <tableColumn id="5" name="technology"/>
    <tableColumn id="6" name="pdf_pages"/>
    <tableColumn id="7" name="application_vi"/>
    <tableColumn id="8" name="working_principle_vi"/>
    <tableColumn id="9" name="notes"/>
  </tableColumns>
  <tableStyleInfo name="TableStyleMedium2" showFirstColumn="0" showLastColumn="0" showRowStripes="1" showColumnStripes="0"/>
</table>
</file>

<file path=xl/tables/table2.xml><?xml version="1.0" encoding="utf-8"?>
<table xmlns="http://schemas.openxmlformats.org/spreadsheetml/2006/main" id="2" name="ModelsTable" displayName="ModelsTable" ref="A1:W58" headerRowCount="1" totalsRowCount="0" totalsRowShown="0">
  <tableColumns count="23">
    <tableColumn id="1" name="machine_id"/>
    <tableColumn id="2" name="ID Check"/>
    <tableColumn id="3" name="series_code"/>
    <tableColumn id="4" name="model"/>
    <tableColumn id="5" name="active"/>
    <tableColumn id="6" name="pdf_page"/>
    <tableColumn id="7" name="capacity_min_kg_h"/>
    <tableColumn id="8" name="capacity_max_kg_h"/>
    <tableColumn id="9" name="input_size_max_mm"/>
    <tableColumn id="10" name="input_size_note"/>
    <tableColumn id="11" name="fineness_min"/>
    <tableColumn id="12" name="fineness_max"/>
    <tableColumn id="13" name="fineness_unit"/>
    <tableColumn id="14" name="main_motor_kw_min"/>
    <tableColumn id="15" name="main_motor_kw_max"/>
    <tableColumn id="16" name="speed_rpm_min"/>
    <tableColumn id="17" name="speed_rpm_max"/>
    <tableColumn id="18" name="length_mm"/>
    <tableColumn id="19" name="width_mm"/>
    <tableColumn id="20" name="height_mm"/>
    <tableColumn id="21" name="weight_kg"/>
    <tableColumn id="22" name="source_document"/>
    <tableColumn id="23" name="edit_note"/>
  </tableColumns>
  <tableStyleInfo name="TableStyleMedium2" showFirstColumn="0" showLastColumn="0" showRowStripes="1" showColumnStripes="0"/>
</table>
</file>

<file path=xl/tables/table3.xml><?xml version="1.0" encoding="utf-8"?>
<table xmlns="http://schemas.openxmlformats.org/spreadsheetml/2006/main" id="3" name="ExtraSpecsTable" displayName="ExtraSpecsTable" ref="A1:I173" headerRowCount="1" totalsRowCount="0" totalsRowShown="0">
  <tableColumns count="9">
    <tableColumn id="1" name="machine_id"/>
    <tableColumn id="2" name="series_code"/>
    <tableColumn id="3" name="model"/>
    <tableColumn id="4" name="spec_key"/>
    <tableColumn id="5" name="spec_value_number"/>
    <tableColumn id="6" name="spec_value_text"/>
    <tableColumn id="7" name="unit"/>
    <tableColumn id="8" name="source_pdf_page"/>
    <tableColumn id="9" name="note"/>
  </tableColumns>
  <tableStyleInfo name="TableStyleMedium2" showFirstColumn="0" showLastColumn="0" showRowStripes="1" showColumnStripes="0"/>
</table>
</file>

<file path=xl/tables/table4.xml><?xml version="1.0" encoding="utf-8"?>
<table xmlns="http://schemas.openxmlformats.org/spreadsheetml/2006/main" id="4" name="SelectionTagsTable" displayName="SelectionTagsTable" ref="A1:D97" headerRowCount="1" totalsRowCount="0" totalsRowShown="0">
  <tableColumns count="4">
    <tableColumn id="1" name="series_code"/>
    <tableColumn id="2" name="display_code"/>
    <tableColumn id="3" name="tag"/>
    <tableColumn id="4" name="note"/>
  </tableColumns>
  <tableStyleInfo name="TableStyleMedium2" showFirstColumn="0" showLastColumn="0" showRowStripes="1" showColumnStripes="0"/>
</table>
</file>

<file path=xl/tables/table5.xml><?xml version="1.0" encoding="utf-8"?>
<table xmlns="http://schemas.openxmlformats.org/spreadsheetml/2006/main" id="5" name="CorrectionsTable" displayName="CorrectionsTable" ref="A1:G4" headerRowCount="1" totalsRowCount="0" totalsRowShown="0">
  <tableColumns count="7">
    <tableColumn id="1" name="pdf_page"/>
    <tableColumn id="2" name="original_text"/>
    <tableColumn id="3" name="normalized_value"/>
    <tableColumn id="4" name="reason"/>
    <tableColumn id="5" name="correction_type"/>
    <tableColumn id="6" name="status"/>
    <tableColumn id="7" name="review_note"/>
  </tableColumns>
  <tableStyleInfo name="TableStyleMedium2" showFirstColumn="0" showLastColumn="0" showRowStripes="1" showColumnStripes="0"/>
</table>
</file>

<file path=xl/tables/table6.xml><?xml version="1.0" encoding="utf-8"?>
<table xmlns="http://schemas.openxmlformats.org/spreadsheetml/2006/main" id="6" name="FieldGuideTable" displayName="FieldGuideTable" ref="A1:E9" headerRowCount="1" totalsRowCount="0" totalsRowShown="0">
  <tableColumns count="5">
    <tableColumn id="1" name="Sheet"/>
    <tableColumn id="2" name="Field"/>
    <tableColumn id="3" name="Ý nghĩa / cách cập nhật"/>
    <tableColumn id="4" name="Unit / kiểu dữ liệu"/>
    <tableColumn id="5" name="Bắt buộc"/>
  </tableColumns>
  <tableStyleInfo name="TableStyleMedium2" showFirstColumn="0" showLastColumn="0" showRowStripes="1" showColumnStripes="0"/>
</table>
</file>

<file path=xl/tables/table7.xml><?xml version="1.0" encoding="utf-8"?>
<table xmlns="http://schemas.openxmlformats.org/spreadsheetml/2006/main" id="7" name="UpdateLogTable" displayName="UpdateLogTable" ref="A1:H3" headerRowCount="1" totalsRowCount="0" totalsRowShown="0">
  <tableColumns count="8">
    <tableColumn id="1" name="version"/>
    <tableColumn id="2" name="date"/>
    <tableColumn id="3" name="editor"/>
    <tableColumn id="4" name="sheet"/>
    <tableColumn id="5" name="record_id"/>
    <tableColumn id="6" name="change_type"/>
    <tableColumn id="7" name="description"/>
    <tableColumn id="8" name="verified"/>
  </tableColumns>
  <tableStyleInfo name="TableStyleMedium2" showFirstColumn="0" showLastColumn="0" showRowStripes="1" showColumnStripes="0"/>
</table>
</file>

<file path=xl/tables/table8.xml><?xml version="1.0" encoding="utf-8"?>
<table xmlns="http://schemas.openxmlformats.org/spreadsheetml/2006/main" id="8" name="MaterialsTable" displayName="MaterialsTable" ref="A1:P15" headerRowCount="1" totalsRowCount="0" totalsRowShown="0">
  <tableColumns count="16">
    <tableColumn id="1" name="material_id"/>
    <tableColumn id="2" name="name_vi"/>
    <tableColumn id="3" name="name_en"/>
    <tableColumn id="4" name="category"/>
    <tableColumn id="5" name="hardness"/>
    <tableColumn id="6" name="fibrous"/>
    <tableColumn id="7" name="oily"/>
    <tableColumn id="8" name="sticky_or_paste"/>
    <tableColumn id="9" name="wet"/>
    <tableColumn id="10" name="heat_sensitive"/>
    <tableColumn id="11" name="brittle"/>
    <tableColumn id="12" name="crystalline"/>
    <tableColumn id="13" name="source_candidate_series"/>
    <tableColumn id="14" name="source_basis"/>
    <tableColumn id="15" name="status"/>
    <tableColumn id="16" name="notes"/>
  </tableColumns>
  <tableStyleInfo name="TableStyleMedium2" showFirstColumn="0" showLastColumn="0" showRowStripes="1" showColumnStripes="0"/>
</table>
</file>

<file path=xl/tables/table9.xml><?xml version="1.0" encoding="utf-8"?>
<table xmlns="http://schemas.openxmlformats.org/spreadsheetml/2006/main" id="9" name="MaterialSeriesMapTable" displayName="MaterialSeriesMapTable" ref="A1:G12" headerRowCount="1" totalsRowCount="0" totalsRowShown="0">
  <tableColumns count="7">
    <tableColumn id="1" name="material_id"/>
    <tableColumn id="2" name="series_code"/>
    <tableColumn id="3" name="score_adjustment"/>
    <tableColumn id="4" name="basis_type"/>
    <tableColumn id="5" name="reason_vi"/>
    <tableColumn id="6" name="source_basis"/>
    <tableColumn id="7" name="status"/>
  </tableColumns>
  <tableStyleInfo name="TableStyleMedium2" showFirstColumn="0" showLastColumn="0" showRowStripes="1" showColumnStripes="0"/>
</table>
</file>

<file path=xl/tables/table10.xml><?xml version="1.0" encoding="utf-8"?>
<table xmlns="http://schemas.openxmlformats.org/spreadsheetml/2006/main" id="10" name="AIConfigTable" displayName="AIConfigTable" ref="A1:F12" headerRowCount="1" totalsRowCount="0" totalsRowShown="0">
  <tableColumns count="6">
    <tableColumn id="1" name="key"/>
    <tableColumn id="2" name="value"/>
    <tableColumn id="3" name="unit"/>
    <tableColumn id="4" name="category"/>
    <tableColumn id="5" name="description"/>
    <tableColumn id="6" name="editable"/>
  </tableColumns>
  <tableStyleInfo name="TableStyleMedium2" showFirstColumn="0" showLastColumn="0" showRowStripes="1" showColumnStripes="0"/>
</table>
</file>

<file path=xl/tables/table11.xml><?xml version="1.0" encoding="utf-8"?>
<table xmlns="http://schemas.openxmlformats.org/spreadsheetml/2006/main" id="11" name="SelectionRulesTable" displayName="SelectionRulesTable" ref="A1:I10" headerRowCount="1" totalsRowCount="0" totalsRowShown="0">
  <tableColumns count="9">
    <tableColumn id="1" name="rule_id"/>
    <tableColumn id="2" name="rule_type"/>
    <tableColumn id="3" name="input_field"/>
    <tableColumn id="4" name="logic"/>
    <tableColumn id="5" name="weight_or_value"/>
    <tableColumn id="6" name="on_fail"/>
    <tableColumn id="7" name="message_vi"/>
    <tableColumn id="8" name="basis"/>
    <tableColumn id="9" name="status"/>
  </tableColumns>
  <tableStyleInfo name="TableStyleMedium2" showFirstColumn="0" showLastColumn="0" showRowStripes="1" showColumnStripes="0"/>
</table>
</file>

<file path=xl/tables/table12.xml><?xml version="1.0" encoding="utf-8"?>
<table xmlns="http://schemas.openxmlformats.org/spreadsheetml/2006/main" id="12" name="AIFieldMapTable" displayName="AIFieldMapTable" ref="A1:F12" headerRowCount="1" totalsRowCount="0" totalsRowShown="0">
  <tableColumns count="6">
    <tableColumn id="1" name="field_name"/>
    <tableColumn id="2" name="synonyms_vi"/>
    <tableColumn id="3" name="data_type"/>
    <tableColumn id="4" name="canonical_unit"/>
    <tableColumn id="5" name="normalization"/>
    <tableColumn id="6" name="importance"/>
  </tableColumns>
  <tableStyleInfo name="TableStyleMedium2" showFirstColumn="0" showLastColumn="0" showRowStripes="1" showColumnStripes="0"/>
</table>
</file>

<file path=xl/tables/table13.xml><?xml version="1.0" encoding="utf-8"?>
<table xmlns="http://schemas.openxmlformats.org/spreadsheetml/2006/main" id="13" name="AIIntentsTable" displayName="AIIntentsTable" ref="A1:E7" headerRowCount="1" totalsRowCount="0" totalsRowShown="0">
  <tableColumns count="5">
    <tableColumn id="1" name="intent_id"/>
    <tableColumn id="2" name="name_vi"/>
    <tableColumn id="3" name="trigger_description"/>
    <tableColumn id="4" name="execution"/>
    <tableColumn id="5" name="guardrail"/>
  </tableColumns>
  <tableStyleInfo name="TableStyleMedium2" showFirstColumn="0" showLastColumn="0" showRowStripes="1" showColumnStripes="0"/>
</table>
</file>

<file path=xl/tables/table14.xml><?xml version="1.0" encoding="utf-8"?>
<table xmlns="http://schemas.openxmlformats.org/spreadsheetml/2006/main" id="14" name="AIPromptTable" displayName="AIPromptTable" ref="A1:B10" headerRowCount="1" totalsRowCount="0" totalsRowShown="0">
  <tableColumns count="2">
    <tableColumn id="1" name="section"/>
    <tableColumn id="2" name="instruction"/>
  </tableColumns>
  <tableStyleInfo name="TableStyleMedium2" showFirstColumn="0" showLastColumn="0" showRowStripes="1" showColumnStripes="0"/>
</table>
</file>

<file path=xl/tables/table15.xml><?xml version="1.0" encoding="utf-8"?>
<table xmlns="http://schemas.openxmlformats.org/spreadsheetml/2006/main" id="15" name="ChatExamplesTable" displayName="ChatExamplesTable" ref="A1:E5" headerRowCount="1" totalsRowCount="0" totalsRowShown="0">
  <tableColumns count="5">
    <tableColumn id="1" name="example_id"/>
    <tableColumn id="2" name="user_message"/>
    <tableColumn id="3" name="intent"/>
    <tableColumn id="4" name="structured_query_example"/>
    <tableColumn id="5" name="expected_behavior"/>
  </tableColumns>
  <tableStyleInfo name="TableStyleMedium2" showFirstColumn="0" showLastColumn="0" showRowStripes="1" showColumnStripes="0"/>
</table>
</file>

<file path=xl/tables/table16.xml><?xml version="1.0" encoding="utf-8"?>
<table xmlns="http://schemas.openxmlformats.org/spreadsheetml/2006/main" id="16" name="AISelectionTestTable" displayName="AISelectionTestTable" ref="A10:P67" headerRowCount="1" totalsRowCount="0" totalsRowShown="0">
  <tableColumns count="16">
    <tableColumn id="1" name="machine_id"/>
    <tableColumn id="2" name="model"/>
    <tableColumn id="3" name="series_code"/>
    <tableColumn id="4" name="capacity_min"/>
    <tableColumn id="5" name="capacity_max"/>
    <tableColumn id="6" name="input_max_mm"/>
    <tableColumn id="7" name="fineness_min"/>
    <tableColumn id="8" name="fineness_max"/>
    <tableColumn id="9" name="unit"/>
    <tableColumn id="10" name="capacity_match"/>
    <tableColumn id="11" name="input_match"/>
    <tableColumn id="12" name="fineness_match"/>
    <tableColumn id="13" name="technical_score"/>
    <tableColumn id="14" name="material_adj"/>
    <tableColumn id="15" name="total_score"/>
    <tableColumn id="16"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Relationships xmlns="http://schemas.openxmlformats.org/package/2006/relationships"><Relationship Type="http://schemas.openxmlformats.org/officeDocument/2006/relationships/table" Target="/xl/tables/table1.xml" Id="R3e2e356546e14c13" /></Relationships>
</file>

<file path=xl/worksheets/_rels/sheet3.xml.rels><?xml version="1.0" encoding="utf-8"?><Relationships xmlns="http://schemas.openxmlformats.org/package/2006/relationships"><Relationship Type="http://schemas.openxmlformats.org/officeDocument/2006/relationships/table" Target="/xl/tables/table2.xml" Id="R1dfa23334b9e45ab" /></Relationships>
</file>

<file path=xl/worksheets/_rels/sheet4.xml.rels><?xml version="1.0" encoding="utf-8"?><Relationships xmlns="http://schemas.openxmlformats.org/package/2006/relationships"><Relationship Type="http://schemas.openxmlformats.org/officeDocument/2006/relationships/table" Target="/xl/tables/table3.xml" Id="Rd66af03a214b4a99" /></Relationships>
</file>

<file path=xl/worksheets/_rels/sheet5.xml.rels><?xml version="1.0" encoding="utf-8"?><Relationships xmlns="http://schemas.openxmlformats.org/package/2006/relationships"><Relationship Type="http://schemas.openxmlformats.org/officeDocument/2006/relationships/table" Target="/xl/tables/table4.xml" Id="Rfb20fee7026f4d62" /></Relationships>
</file>

<file path=xl/worksheets/_rels/sheet6.xml.rels><?xml version="1.0" encoding="utf-8"?><Relationships xmlns="http://schemas.openxmlformats.org/package/2006/relationships"><Relationship Type="http://schemas.openxmlformats.org/officeDocument/2006/relationships/table" Target="/xl/tables/table5.xml" Id="Rbfaeb1cc5613479b" /></Relationships>
</file>

<file path=xl/worksheets/_rels/sheet7.xml.rels><?xml version="1.0" encoding="utf-8"?><Relationships xmlns="http://schemas.openxmlformats.org/package/2006/relationships"><Relationship Type="http://schemas.openxmlformats.org/officeDocument/2006/relationships/table" Target="/xl/tables/table6.xml" Id="R2f111eac0e154bc8" /></Relationships>
</file>

<file path=xl/worksheets/_rels/sheet8.xml.rels><?xml version="1.0" encoding="utf-8"?><Relationships xmlns="http://schemas.openxmlformats.org/package/2006/relationships"><Relationship Type="http://schemas.openxmlformats.org/officeDocument/2006/relationships/table" Target="/xl/tables/table7.xml" Id="Re6998fa592f14cd3" /></Relationships>
</file>

<file path=xl/worksheets/_rels/sheet10.xml.rels><?xml version="1.0" encoding="utf-8"?><Relationships xmlns="http://schemas.openxmlformats.org/package/2006/relationships"><Relationship Type="http://schemas.openxmlformats.org/officeDocument/2006/relationships/table" Target="/xl/tables/table8.xml" Id="Rd274c67ab2bd4e86" /></Relationships>
</file>

<file path=xl/worksheets/_rels/sheet11.xml.rels><?xml version="1.0" encoding="utf-8"?><Relationships xmlns="http://schemas.openxmlformats.org/package/2006/relationships"><Relationship Type="http://schemas.openxmlformats.org/officeDocument/2006/relationships/table" Target="/xl/tables/table9.xml" Id="R2ae0890b68ed4656" /></Relationships>
</file>

<file path=xl/worksheets/_rels/sheet12.xml.rels><?xml version="1.0" encoding="utf-8"?><Relationships xmlns="http://schemas.openxmlformats.org/package/2006/relationships"><Relationship Type="http://schemas.openxmlformats.org/officeDocument/2006/relationships/table" Target="/xl/tables/table10.xml" Id="R61fbbdf0865941d6" /></Relationships>
</file>

<file path=xl/worksheets/_rels/sheet13.xml.rels><?xml version="1.0" encoding="utf-8"?><Relationships xmlns="http://schemas.openxmlformats.org/package/2006/relationships"><Relationship Type="http://schemas.openxmlformats.org/officeDocument/2006/relationships/table" Target="/xl/tables/table11.xml" Id="Rea131869098e4d1a" /></Relationships>
</file>

<file path=xl/worksheets/_rels/sheet14.xml.rels><?xml version="1.0" encoding="utf-8"?><Relationships xmlns="http://schemas.openxmlformats.org/package/2006/relationships"><Relationship Type="http://schemas.openxmlformats.org/officeDocument/2006/relationships/table" Target="/xl/tables/table12.xml" Id="R89e533f47f2e45aa" /></Relationships>
</file>

<file path=xl/worksheets/_rels/sheet15.xml.rels><?xml version="1.0" encoding="utf-8"?><Relationships xmlns="http://schemas.openxmlformats.org/package/2006/relationships"><Relationship Type="http://schemas.openxmlformats.org/officeDocument/2006/relationships/table" Target="/xl/tables/table13.xml" Id="R237fb37464c041ed" /></Relationships>
</file>

<file path=xl/worksheets/_rels/sheet16.xml.rels><?xml version="1.0" encoding="utf-8"?><Relationships xmlns="http://schemas.openxmlformats.org/package/2006/relationships"><Relationship Type="http://schemas.openxmlformats.org/officeDocument/2006/relationships/table" Target="/xl/tables/table14.xml" Id="R360e7d05e76f4549" /></Relationships>
</file>

<file path=xl/worksheets/_rels/sheet17.xml.rels><?xml version="1.0" encoding="utf-8"?><Relationships xmlns="http://schemas.openxmlformats.org/package/2006/relationships"><Relationship Type="http://schemas.openxmlformats.org/officeDocument/2006/relationships/table" Target="/xl/tables/table15.xml" Id="R852f83395c7c4bb2" /></Relationships>
</file>

<file path=xl/worksheets/_rels/sheet18.xml.rels><?xml version="1.0" encoding="utf-8"?><Relationships xmlns="http://schemas.openxmlformats.org/package/2006/relationships"><Relationship Type="http://schemas.openxmlformats.org/officeDocument/2006/relationships/table" Target="/xl/tables/table16.xml" Id="R7c6a49247eea44d5" /></Relationships>
</file>

<file path=xl/worksheets/sheet1.xml><?xml version="1.0" encoding="utf-8"?>
<worksheet xmlns="http://schemas.openxmlformats.org/spreadsheetml/2006/main">
  <cols>
    <col min="1" max="1" width="24.00" bestFit="1" customWidth="1"/>
    <col min="2" max="2" width="74.00" bestFit="1" customWidth="1"/>
  </cols>
  <sheetData>
    <row r="1" ht="30.00" customHeight="1">
      <c r="A1" s="26" t="s">
        <v>0</v>
      </c>
    </row>
    <row r="2">
      <c r="A2" s="27"/>
      <c r="B2" s="27"/>
      <c r="C2" s="27"/>
      <c r="D2" s="27"/>
      <c r="E2" s="27"/>
      <c r="F2" s="27"/>
      <c r="G2" s="27"/>
      <c r="H2" s="27"/>
    </row>
    <row r="3" ht="38.00" customHeight="1">
      <c r="A3" s="12" t="s">
        <v>1</v>
      </c>
    </row>
    <row r="4">
      <c r="A4" s="27"/>
      <c r="B4" s="27"/>
      <c r="C4" s="27"/>
      <c r="D4" s="27"/>
      <c r="E4" s="27"/>
      <c r="F4" s="27"/>
      <c r="G4" s="27"/>
      <c r="H4" s="27"/>
    </row>
    <row r="5">
      <c r="A5" s="18" t="s">
        <v>2</v>
      </c>
      <c r="B5" s="18" t="s">
        <v>3</v>
      </c>
      <c r="C5" s="27"/>
      <c r="D5" s="27"/>
      <c r="E5" s="27"/>
      <c r="F5" s="27"/>
      <c r="G5" s="27"/>
      <c r="H5" s="27"/>
    </row>
    <row r="6">
      <c r="A6" s="27" t="s">
        <v>4</v>
      </c>
      <c r="B6" s="125" t="s">
        <v>807</v>
      </c>
      <c r="C6" s="27"/>
      <c r="D6" s="27"/>
      <c r="E6" s="27"/>
      <c r="F6" s="27"/>
      <c r="G6" s="27"/>
      <c r="H6" s="27"/>
    </row>
    <row r="7">
      <c r="A7" s="27" t="s">
        <v>6</v>
      </c>
      <c r="B7" s="27" t="s">
        <v>7</v>
      </c>
      <c r="C7" s="27"/>
      <c r="D7" s="27"/>
      <c r="E7" s="27"/>
      <c r="F7" s="27"/>
      <c r="G7" s="27"/>
      <c r="H7" s="27"/>
    </row>
    <row r="8">
      <c r="A8" s="27" t="s">
        <v>8</v>
      </c>
      <c r="B8" s="27" t="s">
        <v>9</v>
      </c>
      <c r="C8" s="27"/>
      <c r="D8" s="27"/>
      <c r="E8" s="27"/>
      <c r="F8" s="27"/>
      <c r="G8" s="27"/>
      <c r="H8" s="27"/>
    </row>
    <row r="9">
      <c r="A9" s="27" t="s">
        <v>10</v>
      </c>
      <c r="B9" s="27">
        <v>11</v>
      </c>
      <c r="C9" s="27"/>
      <c r="D9" s="27"/>
      <c r="E9" s="27"/>
      <c r="F9" s="27"/>
      <c r="G9" s="27"/>
      <c r="H9" s="27"/>
    </row>
    <row r="10">
      <c r="A10" s="27" t="s">
        <v>11</v>
      </c>
      <c r="B10" s="27">
        <v>57</v>
      </c>
      <c r="C10" s="27"/>
      <c r="D10" s="27"/>
      <c r="E10" s="27"/>
      <c r="F10" s="27"/>
      <c r="G10" s="27"/>
      <c r="H10" s="27"/>
    </row>
    <row r="11">
      <c r="A11" s="27"/>
      <c r="B11" s="27"/>
      <c r="C11" s="27"/>
      <c r="D11" s="27"/>
      <c r="E11" s="27"/>
      <c r="F11" s="27"/>
      <c r="G11" s="27"/>
      <c r="H11" s="27"/>
    </row>
    <row r="12">
      <c r="A12" s="27"/>
      <c r="B12" s="27"/>
      <c r="C12" s="27"/>
      <c r="D12" s="27"/>
      <c r="E12" s="27"/>
      <c r="F12" s="27"/>
      <c r="G12" s="27"/>
      <c r="H12" s="27"/>
    </row>
    <row r="13">
      <c r="A13" s="117" t="s">
        <v>12</v>
      </c>
    </row>
    <row r="14">
      <c r="A14" s="117" t="s">
        <v>13</v>
      </c>
      <c r="B14" s="27" t="s">
        <v>14</v>
      </c>
      <c r="C14" s="27"/>
      <c r="D14" s="27"/>
      <c r="E14" s="27"/>
      <c r="F14" s="27"/>
      <c r="G14" s="27"/>
      <c r="H14" s="27"/>
    </row>
    <row r="15">
      <c r="A15" s="117" t="s">
        <v>15</v>
      </c>
      <c r="B15" s="27" t="s">
        <v>16</v>
      </c>
      <c r="C15" s="27"/>
      <c r="D15" s="27"/>
      <c r="E15" s="27"/>
      <c r="F15" s="27"/>
      <c r="G15" s="27"/>
      <c r="H15" s="27"/>
    </row>
    <row r="16">
      <c r="A16" s="117" t="s">
        <v>17</v>
      </c>
      <c r="B16" s="27" t="s">
        <v>18</v>
      </c>
      <c r="C16" s="27"/>
      <c r="D16" s="27"/>
      <c r="E16" s="27"/>
      <c r="F16" s="27"/>
      <c r="G16" s="27"/>
      <c r="H16" s="27"/>
    </row>
    <row r="17">
      <c r="A17" s="117" t="s">
        <v>19</v>
      </c>
      <c r="B17" s="27" t="s">
        <v>20</v>
      </c>
      <c r="C17" s="27"/>
      <c r="D17" s="27"/>
      <c r="E17" s="27"/>
      <c r="F17" s="27"/>
      <c r="G17" s="27"/>
      <c r="H17" s="27"/>
    </row>
    <row r="18">
      <c r="A18" s="117" t="s">
        <v>21</v>
      </c>
      <c r="B18" s="27" t="s">
        <v>22</v>
      </c>
      <c r="C18" s="27"/>
      <c r="D18" s="27"/>
      <c r="E18" s="27"/>
      <c r="F18" s="27"/>
      <c r="G18" s="27"/>
      <c r="H18" s="27"/>
    </row>
    <row r="19">
      <c r="A19" s="117" t="s">
        <v>23</v>
      </c>
      <c r="B19" s="27" t="s">
        <v>24</v>
      </c>
      <c r="C19" s="27"/>
      <c r="D19" s="27"/>
      <c r="E19" s="27"/>
      <c r="F19" s="27"/>
      <c r="G19" s="27"/>
      <c r="H19" s="27"/>
    </row>
    <row r="20">
      <c r="A20" s="117" t="s">
        <v>25</v>
      </c>
      <c r="B20" s="27" t="s">
        <v>26</v>
      </c>
      <c r="C20" s="27"/>
      <c r="D20" s="27"/>
      <c r="E20" s="27"/>
      <c r="F20" s="27"/>
      <c r="G20" s="27"/>
      <c r="H20" s="27"/>
    </row>
    <row r="21">
      <c r="A21" s="117" t="s">
        <v>27</v>
      </c>
      <c r="B21" s="27" t="s">
        <v>28</v>
      </c>
      <c r="C21" s="27"/>
      <c r="D21" s="27"/>
      <c r="E21" s="27"/>
      <c r="F21" s="27"/>
      <c r="G21" s="27"/>
      <c r="H21" s="27"/>
    </row>
    <row r="22">
      <c r="A22" s="117" t="s">
        <v>29</v>
      </c>
      <c r="B22" s="27" t="s">
        <v>30</v>
      </c>
      <c r="C22" s="27"/>
      <c r="D22" s="27"/>
      <c r="E22" s="27"/>
      <c r="F22" s="27"/>
      <c r="G22" s="27"/>
      <c r="H22" s="27"/>
    </row>
  </sheetData>
  <mergeCells>
    <mergeCell ref="A1:H1"/>
    <mergeCell ref="A3:H3"/>
    <mergeCell ref="A13:H13"/>
  </mergeCells>
  <pageMargins left="0.7" right="0.7" top="0.75" bottom="0.75" header="0.3" footer="0.3"/>
</worksheet>
</file>

<file path=xl/worksheets/sheet2.xml><?xml version="1.0" encoding="utf-8"?>
<worksheet xmlns="http://schemas.openxmlformats.org/spreadsheetml/2006/main">
  <cols>
    <col min="1" max="1" width="24.00" bestFit="1" customWidth="1"/>
    <col min="2" max="2" width="14.00" bestFit="1" customWidth="1"/>
    <col min="3" max="3" width="32.00" bestFit="1" customWidth="1"/>
    <col min="4" max="4" width="30.00" bestFit="1" customWidth="1"/>
    <col min="5" max="5" width="28.00" bestFit="1" customWidth="1"/>
    <col min="6" max="6" width="12.00" bestFit="1" customWidth="1"/>
    <col min="7" max="7" width="48.00" bestFit="1" customWidth="1"/>
    <col min="8" max="8" width="55.00" bestFit="1" customWidth="1"/>
    <col min="9" max="9" width="45.00" bestFit="1" customWidth="1"/>
    <col min="10" max="10" width="55.00" customWidth="1"/>
    <col min="11" max="11" width="55.00" customWidth="1"/>
  </cols>
  <sheetData>
    <row r="1">
      <c r="A1" s="18" t="s">
        <v>31</v>
      </c>
      <c r="B1" s="18" t="s">
        <v>32</v>
      </c>
      <c r="C1" s="18" t="s">
        <v>33</v>
      </c>
      <c r="D1" s="18" t="s">
        <v>34</v>
      </c>
      <c r="E1" s="18" t="s">
        <v>35</v>
      </c>
      <c r="F1" s="18" t="s">
        <v>36</v>
      </c>
      <c r="G1" s="18" t="s">
        <v>37</v>
      </c>
      <c r="H1" s="18" t="s">
        <v>38</v>
      </c>
      <c r="I1" s="18" t="s">
        <v>39</v>
      </c>
      <c r="J1" s="18" t="s">
        <v>809</v>
      </c>
      <c r="K1" s="18" t="s">
        <v>820</v>
      </c>
    </row>
    <row r="2">
      <c r="A2" s="125" t="s">
        <v>40</v>
      </c>
      <c r="B2" s="125" t="s">
        <v>41</v>
      </c>
      <c r="C2" s="27" t="s">
        <v>42</v>
      </c>
      <c r="D2" s="125" t="s">
        <v>43</v>
      </c>
      <c r="E2" s="27" t="s">
        <v>44</v>
      </c>
      <c r="F2" s="27" t="s">
        <v>45</v>
      </c>
      <c r="G2" s="27" t="s">
        <v>46</v>
      </c>
      <c r="H2" s="27" t="s">
        <v>47</v>
      </c>
      <c r="I2" s="27" t="s">
        <v>48</v>
      </c>
    </row>
    <row r="3">
      <c r="A3" s="125" t="s">
        <v>49</v>
      </c>
      <c r="B3" s="125" t="s">
        <v>50</v>
      </c>
      <c r="C3" s="27" t="s">
        <v>51</v>
      </c>
      <c r="D3" s="125" t="s">
        <v>96</v>
      </c>
      <c r="E3" s="27" t="s">
        <v>53</v>
      </c>
      <c r="F3" s="27" t="s">
        <v>54</v>
      </c>
      <c r="G3" s="27" t="s">
        <v>55</v>
      </c>
      <c r="H3" s="27" t="s">
        <v>56</v>
      </c>
      <c r="I3" s="27" t="s">
        <v>57</v>
      </c>
    </row>
    <row r="4">
      <c r="A4" s="125" t="s">
        <v>58</v>
      </c>
      <c r="B4" s="125" t="s">
        <v>59</v>
      </c>
      <c r="C4" s="27" t="s">
        <v>60</v>
      </c>
      <c r="D4" s="125" t="s">
        <v>61</v>
      </c>
      <c r="E4" s="27" t="s">
        <v>62</v>
      </c>
      <c r="F4" s="27" t="s">
        <v>63</v>
      </c>
      <c r="G4" s="27" t="s">
        <v>64</v>
      </c>
      <c r="H4" s="27" t="s">
        <v>65</v>
      </c>
      <c r="I4" s="27" t="s">
        <v>66</v>
      </c>
      <c r="J4" s="27" t="s">
        <v>810</v>
      </c>
    </row>
    <row r="5">
      <c r="A5" s="125" t="s">
        <v>67</v>
      </c>
      <c r="B5" s="125" t="s">
        <v>68</v>
      </c>
      <c r="C5" s="27" t="s">
        <v>69</v>
      </c>
      <c r="D5" s="125" t="s">
        <v>70</v>
      </c>
      <c r="E5" s="27" t="s">
        <v>71</v>
      </c>
      <c r="F5" s="27" t="s">
        <v>63</v>
      </c>
      <c r="G5" s="27" t="s">
        <v>72</v>
      </c>
      <c r="H5" s="27" t="s">
        <v>73</v>
      </c>
      <c r="I5" s="27" t="s">
        <v>74</v>
      </c>
      <c r="K5" s="27" t="s">
        <v>822</v>
      </c>
    </row>
    <row r="6">
      <c r="A6" s="125" t="s">
        <v>75</v>
      </c>
      <c r="B6" s="125" t="s">
        <v>76</v>
      </c>
      <c r="C6" s="27" t="s">
        <v>77</v>
      </c>
      <c r="D6" s="125" t="s">
        <v>78</v>
      </c>
      <c r="E6" s="27" t="s">
        <v>79</v>
      </c>
      <c r="F6" s="27" t="s">
        <v>80</v>
      </c>
      <c r="G6" s="161" t="s">
        <v>81</v>
      </c>
      <c r="H6" s="27" t="s">
        <v>82</v>
      </c>
      <c r="I6" s="27" t="s">
        <v>83</v>
      </c>
      <c r="J6" s="27" t="s">
        <v>824</v>
      </c>
    </row>
    <row r="7">
      <c r="A7" s="125" t="s">
        <v>84</v>
      </c>
      <c r="B7" s="125" t="s">
        <v>85</v>
      </c>
      <c r="C7" s="27" t="s">
        <v>86</v>
      </c>
      <c r="D7" s="125" t="s">
        <v>87</v>
      </c>
      <c r="E7" s="27" t="s">
        <v>88</v>
      </c>
      <c r="F7" s="27" t="s">
        <v>89</v>
      </c>
      <c r="G7" s="27" t="s">
        <v>90</v>
      </c>
      <c r="H7" s="27" t="s">
        <v>91</v>
      </c>
      <c r="I7" s="27" t="s">
        <v>92</v>
      </c>
    </row>
    <row r="8">
      <c r="A8" s="125" t="s">
        <v>93</v>
      </c>
      <c r="B8" s="125" t="s">
        <v>50</v>
      </c>
      <c r="C8" s="27" t="s">
        <v>95</v>
      </c>
      <c r="D8" s="125" t="s">
        <v>96</v>
      </c>
      <c r="E8" s="27" t="s">
        <v>97</v>
      </c>
      <c r="F8" s="27" t="s">
        <v>98</v>
      </c>
      <c r="G8" s="27" t="s">
        <v>99</v>
      </c>
      <c r="H8" s="27" t="s">
        <v>100</v>
      </c>
      <c r="I8" s="27" t="s">
        <v>101</v>
      </c>
      <c r="K8" s="27" t="s">
        <v>821</v>
      </c>
    </row>
    <row r="9">
      <c r="A9" s="125" t="s">
        <v>102</v>
      </c>
      <c r="B9" s="125" t="s">
        <v>103</v>
      </c>
      <c r="C9" s="27" t="s">
        <v>104</v>
      </c>
      <c r="D9" s="125" t="s">
        <v>105</v>
      </c>
      <c r="E9" s="27" t="s">
        <v>106</v>
      </c>
      <c r="F9" s="27" t="s">
        <v>107</v>
      </c>
      <c r="G9" s="27" t="s">
        <v>108</v>
      </c>
      <c r="H9" s="27" t="s">
        <v>109</v>
      </c>
      <c r="I9" s="27" t="s">
        <v>110</v>
      </c>
      <c r="K9" s="27" t="s">
        <v>823</v>
      </c>
    </row>
    <row r="10">
      <c r="A10" s="125" t="s">
        <v>111</v>
      </c>
      <c r="B10" s="125" t="s">
        <v>808</v>
      </c>
      <c r="C10" s="27" t="s">
        <v>112</v>
      </c>
      <c r="D10" s="125" t="s">
        <v>113</v>
      </c>
      <c r="E10" s="27" t="s">
        <v>114</v>
      </c>
      <c r="F10" s="27" t="s">
        <v>115</v>
      </c>
      <c r="G10" s="27" t="s">
        <v>116</v>
      </c>
      <c r="H10" s="27" t="s">
        <v>117</v>
      </c>
      <c r="I10" s="27" t="s">
        <v>118</v>
      </c>
    </row>
    <row r="11">
      <c r="A11" s="125" t="s">
        <v>119</v>
      </c>
      <c r="B11" s="125" t="s">
        <v>120</v>
      </c>
      <c r="C11" s="27" t="s">
        <v>121</v>
      </c>
      <c r="D11" s="27" t="s">
        <v>122</v>
      </c>
      <c r="E11" s="27" t="s">
        <v>123</v>
      </c>
      <c r="F11" s="27" t="s">
        <v>124</v>
      </c>
      <c r="G11" s="27" t="s">
        <v>125</v>
      </c>
      <c r="H11" s="27" t="s">
        <v>126</v>
      </c>
      <c r="I11" s="27" t="s">
        <v>127</v>
      </c>
    </row>
    <row r="12">
      <c r="A12" s="125" t="s">
        <v>128</v>
      </c>
      <c r="B12" s="125" t="s">
        <v>50</v>
      </c>
      <c r="C12" s="27" t="s">
        <v>129</v>
      </c>
      <c r="D12" s="125" t="s">
        <v>130</v>
      </c>
      <c r="E12" s="27" t="s">
        <v>131</v>
      </c>
      <c r="F12" s="27" t="s">
        <v>132</v>
      </c>
      <c r="G12" s="27" t="s">
        <v>133</v>
      </c>
      <c r="H12" s="27" t="s">
        <v>134</v>
      </c>
      <c r="I12" s="27" t="s">
        <v>135</v>
      </c>
    </row>
    <row r="13">
      <c r="A13" s="125" t="s">
        <v>811</v>
      </c>
      <c r="B13" s="125" t="s">
        <v>812</v>
      </c>
      <c r="C13" s="27" t="s">
        <v>813</v>
      </c>
      <c r="D13" s="125" t="s">
        <v>814</v>
      </c>
      <c r="E13" s="27" t="s">
        <v>815</v>
      </c>
      <c r="F13" s="27" t="s">
        <v>98</v>
      </c>
      <c r="G13" s="27" t="s">
        <v>816</v>
      </c>
      <c r="H13" s="27" t="s">
        <v>817</v>
      </c>
      <c r="I13" s="27" t="s">
        <v>818</v>
      </c>
      <c r="J13" s="27" t="s">
        <v>819</v>
      </c>
    </row>
  </sheetData>
  <pageMargins left="0.7" right="0.7" top="0.75" bottom="0.75" header="0.3" footer="0.3"/>
  <tableParts count="1">
    <tablePart xmlns:r="http://schemas.openxmlformats.org/officeDocument/2006/relationships" r:id="R3e2e356546e14c13"/>
  </tableParts>
</worksheet>
</file>

<file path=xl/worksheets/sheet3.xml><?xml version="1.0" encoding="utf-8"?>
<worksheet xmlns="http://schemas.openxmlformats.org/spreadsheetml/2006/main">
  <cols>
    <col min="1" max="1" width="30.00" bestFit="1" customWidth="1"/>
    <col min="2" max="2" width="12.00" bestFit="1" customWidth="1"/>
    <col min="3" max="3" width="24.00" bestFit="1" customWidth="1"/>
    <col min="4" max="4" width="16.00" bestFit="1" customWidth="1"/>
    <col min="5" max="5" width="10.00" bestFit="1" customWidth="1"/>
    <col min="6" max="6" width="10.00" bestFit="1" customWidth="1"/>
    <col min="7" max="7" width="16.00" bestFit="1" customWidth="1"/>
    <col min="8" max="8" width="16.00" bestFit="1" customWidth="1"/>
    <col min="9" max="9" width="16.00" bestFit="1" customWidth="1"/>
    <col min="10" max="10" width="34.00" bestFit="1" customWidth="1"/>
    <col min="11" max="11" width="14.00" bestFit="1" customWidth="1"/>
    <col min="12" max="12" width="14.00" bestFit="1" customWidth="1"/>
    <col min="13" max="13" width="12.00" bestFit="1" customWidth="1"/>
    <col min="14" max="14" width="16.00" bestFit="1" customWidth="1"/>
    <col min="15" max="15" width="16.00" bestFit="1" customWidth="1"/>
    <col min="16" max="16" width="14.00" bestFit="1" customWidth="1"/>
    <col min="17" max="17" width="14.00" bestFit="1" customWidth="1"/>
    <col min="18" max="18" width="12.00" bestFit="1" customWidth="1"/>
    <col min="19" max="19" width="12.00" bestFit="1" customWidth="1"/>
    <col min="20" max="20" width="12.00" bestFit="1" customWidth="1"/>
    <col min="21" max="21" width="12.00" bestFit="1" customWidth="1"/>
    <col min="22" max="22" width="34.00" bestFit="1" customWidth="1"/>
    <col min="23" max="23" width="34.00" bestFit="1" customWidth="1"/>
  </cols>
  <sheetData>
    <row r="1">
      <c r="A1" s="18" t="s">
        <v>136</v>
      </c>
      <c r="B1" s="18" t="s">
        <v>137</v>
      </c>
      <c r="C1" s="18" t="s">
        <v>31</v>
      </c>
      <c r="D1" s="18" t="s">
        <v>138</v>
      </c>
      <c r="E1" s="18" t="s">
        <v>139</v>
      </c>
      <c r="F1" s="18" t="s">
        <v>140</v>
      </c>
      <c r="G1" s="18" t="s">
        <v>141</v>
      </c>
      <c r="H1" s="18" t="s">
        <v>142</v>
      </c>
      <c r="I1" s="18" t="s">
        <v>143</v>
      </c>
      <c r="J1" s="18" t="s">
        <v>144</v>
      </c>
      <c r="K1" s="18" t="s">
        <v>145</v>
      </c>
      <c r="L1" s="18" t="s">
        <v>146</v>
      </c>
      <c r="M1" s="18" t="s">
        <v>147</v>
      </c>
      <c r="N1" s="18" t="s">
        <v>148</v>
      </c>
      <c r="O1" s="18" t="s">
        <v>149</v>
      </c>
      <c r="P1" s="18" t="s">
        <v>150</v>
      </c>
      <c r="Q1" s="18" t="s">
        <v>151</v>
      </c>
      <c r="R1" s="18" t="s">
        <v>152</v>
      </c>
      <c r="S1" s="18" t="s">
        <v>153</v>
      </c>
      <c r="T1" s="18" t="s">
        <v>154</v>
      </c>
      <c r="U1" s="18" t="s">
        <v>155</v>
      </c>
      <c r="V1" s="18" t="s">
        <v>156</v>
      </c>
      <c r="W1" s="18" t="s">
        <v>157</v>
      </c>
    </row>
    <row r="2">
      <c r="A2" s="125" t="s">
        <v>158</v>
      </c>
      <c r="B2" s="27" t="s">
        <v>159</v>
      </c>
      <c r="C2" s="125" t="s">
        <v>40</v>
      </c>
      <c r="D2" s="27" t="s">
        <v>160</v>
      </c>
      <c r="E2" s="27" t="b">
        <v>1</v>
      </c>
      <c r="F2" s="27">
        <v>5</v>
      </c>
      <c r="G2" s="27">
        <v>80</v>
      </c>
      <c r="H2" s="27">
        <v>300</v>
      </c>
      <c r="I2" s="27">
        <v>100</v>
      </c>
      <c r="J2" s="27" t="s">
        <v>161</v>
      </c>
      <c r="K2" s="27">
        <v>0.5</v>
      </c>
      <c r="L2" s="27">
        <v>20</v>
      </c>
      <c r="M2" s="27" t="s">
        <v>162</v>
      </c>
      <c r="N2" s="27">
        <v>3</v>
      </c>
      <c r="O2" s="27">
        <v>3</v>
      </c>
      <c r="P2" s="27">
        <v>530</v>
      </c>
      <c r="Q2" s="27">
        <v>530</v>
      </c>
      <c r="R2" s="27">
        <v>600</v>
      </c>
      <c r="S2" s="27">
        <v>500</v>
      </c>
      <c r="T2" s="27">
        <v>1228</v>
      </c>
      <c r="U2" s="27">
        <v>200</v>
      </c>
      <c r="V2" s="27" t="s">
        <v>7</v>
      </c>
      <c r="W2" s="27" t="s">
        <v>163</v>
      </c>
    </row>
    <row r="3">
      <c r="A3" s="125" t="s">
        <v>164</v>
      </c>
      <c r="B3" s="27" t="s">
        <v>159</v>
      </c>
      <c r="C3" s="125" t="s">
        <v>40</v>
      </c>
      <c r="D3" s="27" t="s">
        <v>165</v>
      </c>
      <c r="E3" s="27" t="b">
        <v>1</v>
      </c>
      <c r="F3" s="27">
        <v>5</v>
      </c>
      <c r="G3" s="27">
        <v>100</v>
      </c>
      <c r="H3" s="27">
        <v>800</v>
      </c>
      <c r="I3" s="27">
        <v>100</v>
      </c>
      <c r="J3" s="27" t="s">
        <v>161</v>
      </c>
      <c r="K3" s="27">
        <v>0.5</v>
      </c>
      <c r="L3" s="27">
        <v>20</v>
      </c>
      <c r="M3" s="27" t="s">
        <v>162</v>
      </c>
      <c r="N3" s="27">
        <v>5.5</v>
      </c>
      <c r="O3" s="27">
        <v>5.5</v>
      </c>
      <c r="P3" s="27">
        <v>530</v>
      </c>
      <c r="Q3" s="27">
        <v>530</v>
      </c>
      <c r="R3" s="27">
        <v>720</v>
      </c>
      <c r="S3" s="27">
        <v>700</v>
      </c>
      <c r="T3" s="27">
        <v>1303</v>
      </c>
      <c r="U3" s="27">
        <v>300</v>
      </c>
      <c r="V3" s="27" t="s">
        <v>7</v>
      </c>
      <c r="W3" s="27" t="s">
        <v>163</v>
      </c>
    </row>
    <row r="4">
      <c r="A4" s="125" t="s">
        <v>166</v>
      </c>
      <c r="B4" s="27" t="s">
        <v>159</v>
      </c>
      <c r="C4" s="125" t="s">
        <v>40</v>
      </c>
      <c r="D4" s="27" t="s">
        <v>167</v>
      </c>
      <c r="E4" s="27" t="b">
        <v>1</v>
      </c>
      <c r="F4" s="27">
        <v>5</v>
      </c>
      <c r="G4" s="27">
        <v>200</v>
      </c>
      <c r="H4" s="27">
        <v>1000</v>
      </c>
      <c r="I4" s="27">
        <v>100</v>
      </c>
      <c r="J4" s="27" t="s">
        <v>161</v>
      </c>
      <c r="K4" s="27">
        <v>0.5</v>
      </c>
      <c r="L4" s="27">
        <v>20</v>
      </c>
      <c r="M4" s="27" t="s">
        <v>162</v>
      </c>
      <c r="N4" s="27">
        <v>7.5</v>
      </c>
      <c r="O4" s="27">
        <v>7.5</v>
      </c>
      <c r="P4" s="27">
        <v>530</v>
      </c>
      <c r="Q4" s="27">
        <v>530</v>
      </c>
      <c r="R4" s="27">
        <v>900</v>
      </c>
      <c r="S4" s="27">
        <v>700</v>
      </c>
      <c r="T4" s="27">
        <v>1306</v>
      </c>
      <c r="U4" s="27">
        <v>380</v>
      </c>
      <c r="V4" s="27" t="s">
        <v>7</v>
      </c>
      <c r="W4" s="27" t="s">
        <v>163</v>
      </c>
    </row>
    <row r="5">
      <c r="A5" s="125" t="s">
        <v>168</v>
      </c>
      <c r="B5" s="27" t="s">
        <v>159</v>
      </c>
      <c r="C5" s="125" t="s">
        <v>40</v>
      </c>
      <c r="D5" s="27" t="s">
        <v>169</v>
      </c>
      <c r="E5" s="27" t="b">
        <v>1</v>
      </c>
      <c r="F5" s="27">
        <v>5</v>
      </c>
      <c r="G5" s="27">
        <v>500</v>
      </c>
      <c r="H5" s="27">
        <v>1500</v>
      </c>
      <c r="I5" s="27">
        <v>100</v>
      </c>
      <c r="J5" s="27" t="s">
        <v>161</v>
      </c>
      <c r="K5" s="27">
        <v>0.5</v>
      </c>
      <c r="L5" s="27">
        <v>20</v>
      </c>
      <c r="M5" s="27" t="s">
        <v>162</v>
      </c>
      <c r="N5" s="27">
        <v>11</v>
      </c>
      <c r="O5" s="27">
        <v>11</v>
      </c>
      <c r="P5" s="27">
        <v>530</v>
      </c>
      <c r="Q5" s="27">
        <v>530</v>
      </c>
      <c r="R5" s="27">
        <v>1020</v>
      </c>
      <c r="S5" s="27">
        <v>700</v>
      </c>
      <c r="T5" s="27">
        <v>1306</v>
      </c>
      <c r="U5" s="27">
        <v>500</v>
      </c>
      <c r="V5" s="27" t="s">
        <v>7</v>
      </c>
      <c r="W5" s="27" t="s">
        <v>163</v>
      </c>
    </row>
    <row r="6">
      <c r="A6" s="125" t="s">
        <v>170</v>
      </c>
      <c r="B6" s="27" t="s">
        <v>159</v>
      </c>
      <c r="C6" s="125" t="s">
        <v>40</v>
      </c>
      <c r="D6" s="27" t="s">
        <v>171</v>
      </c>
      <c r="E6" s="27" t="b">
        <v>1</v>
      </c>
      <c r="F6" s="27">
        <v>5</v>
      </c>
      <c r="G6" s="27">
        <v>1000</v>
      </c>
      <c r="H6" s="27">
        <v>2500</v>
      </c>
      <c r="I6" s="27">
        <v>100</v>
      </c>
      <c r="J6" s="27" t="s">
        <v>161</v>
      </c>
      <c r="K6" s="27">
        <v>0.5</v>
      </c>
      <c r="L6" s="27">
        <v>20</v>
      </c>
      <c r="M6" s="27" t="s">
        <v>162</v>
      </c>
      <c r="N6" s="27">
        <v>15</v>
      </c>
      <c r="O6" s="27">
        <v>15</v>
      </c>
      <c r="P6" s="27">
        <v>540</v>
      </c>
      <c r="Q6" s="27">
        <v>540</v>
      </c>
      <c r="R6" s="27">
        <v>1330</v>
      </c>
      <c r="S6" s="27">
        <v>850</v>
      </c>
      <c r="T6" s="27">
        <v>1826</v>
      </c>
      <c r="U6" s="27">
        <v>1000</v>
      </c>
      <c r="V6" s="27" t="s">
        <v>7</v>
      </c>
      <c r="W6" s="27" t="s">
        <v>163</v>
      </c>
    </row>
    <row r="7">
      <c r="A7" s="125" t="s">
        <v>172</v>
      </c>
      <c r="B7" s="27" t="s">
        <v>159</v>
      </c>
      <c r="C7" s="125" t="s">
        <v>49</v>
      </c>
      <c r="D7" s="27" t="s">
        <v>173</v>
      </c>
      <c r="E7" s="27" t="b">
        <v>1</v>
      </c>
      <c r="F7" s="27">
        <v>6</v>
      </c>
      <c r="G7" s="27">
        <v>3</v>
      </c>
      <c r="H7" s="27">
        <v>50</v>
      </c>
      <c r="I7" s="27">
        <v>10</v>
      </c>
      <c r="J7" s="27" t="s">
        <v>174</v>
      </c>
      <c r="K7" s="27">
        <v>10</v>
      </c>
      <c r="L7" s="27">
        <v>120</v>
      </c>
      <c r="M7" s="27" t="s">
        <v>175</v>
      </c>
      <c r="N7" s="27">
        <v>2.2</v>
      </c>
      <c r="O7" s="27">
        <v>2.2</v>
      </c>
      <c r="P7" s="27">
        <v>5900</v>
      </c>
      <c r="Q7" s="27">
        <v>8600</v>
      </c>
      <c r="R7" s="27">
        <v>840</v>
      </c>
      <c r="S7" s="27">
        <v>470</v>
      </c>
      <c r="T7" s="27">
        <v>1020</v>
      </c>
      <c r="U7" s="27">
        <v>112</v>
      </c>
      <c r="V7" s="27" t="s">
        <v>7</v>
      </c>
      <c r="W7" s="27" t="s">
        <v>163</v>
      </c>
    </row>
    <row r="8">
      <c r="A8" s="125" t="s">
        <v>176</v>
      </c>
      <c r="B8" s="27" t="s">
        <v>159</v>
      </c>
      <c r="C8" s="125" t="s">
        <v>49</v>
      </c>
      <c r="D8" s="27" t="s">
        <v>177</v>
      </c>
      <c r="E8" s="27" t="b">
        <v>1</v>
      </c>
      <c r="F8" s="27">
        <v>6</v>
      </c>
      <c r="G8" s="27">
        <v>10</v>
      </c>
      <c r="H8" s="27">
        <v>100</v>
      </c>
      <c r="I8" s="27">
        <v>10</v>
      </c>
      <c r="J8" s="27" t="s">
        <v>174</v>
      </c>
      <c r="K8" s="27">
        <v>10</v>
      </c>
      <c r="L8" s="27">
        <v>120</v>
      </c>
      <c r="M8" s="27" t="s">
        <v>175</v>
      </c>
      <c r="N8" s="27">
        <v>5.5</v>
      </c>
      <c r="O8" s="27">
        <v>5.5</v>
      </c>
      <c r="P8" s="27">
        <v>4200</v>
      </c>
      <c r="Q8" s="27">
        <v>6200</v>
      </c>
      <c r="R8" s="27">
        <v>930</v>
      </c>
      <c r="S8" s="27">
        <v>600</v>
      </c>
      <c r="T8" s="27">
        <v>1200</v>
      </c>
      <c r="U8" s="27">
        <v>210</v>
      </c>
      <c r="V8" s="27" t="s">
        <v>7</v>
      </c>
      <c r="W8" s="27" t="s">
        <v>163</v>
      </c>
    </row>
    <row r="9">
      <c r="A9" s="125" t="s">
        <v>178</v>
      </c>
      <c r="B9" s="27" t="s">
        <v>159</v>
      </c>
      <c r="C9" s="125" t="s">
        <v>49</v>
      </c>
      <c r="D9" s="27" t="s">
        <v>179</v>
      </c>
      <c r="E9" s="27" t="b">
        <v>1</v>
      </c>
      <c r="F9" s="27">
        <v>6</v>
      </c>
      <c r="G9" s="27">
        <v>30</v>
      </c>
      <c r="H9" s="27">
        <v>300</v>
      </c>
      <c r="I9" s="27">
        <v>10</v>
      </c>
      <c r="J9" s="27" t="s">
        <v>174</v>
      </c>
      <c r="K9" s="27">
        <v>10</v>
      </c>
      <c r="L9" s="27">
        <v>120</v>
      </c>
      <c r="M9" s="27" t="s">
        <v>175</v>
      </c>
      <c r="N9" s="27">
        <v>11</v>
      </c>
      <c r="O9" s="27">
        <v>11</v>
      </c>
      <c r="P9" s="27">
        <v>2200</v>
      </c>
      <c r="Q9" s="27">
        <v>4400</v>
      </c>
      <c r="R9" s="27">
        <v>1150</v>
      </c>
      <c r="S9" s="27">
        <v>700</v>
      </c>
      <c r="T9" s="27">
        <v>1600</v>
      </c>
      <c r="U9" s="27">
        <v>430</v>
      </c>
      <c r="V9" s="27" t="s">
        <v>7</v>
      </c>
      <c r="W9" s="27" t="s">
        <v>163</v>
      </c>
    </row>
    <row r="10">
      <c r="A10" s="125" t="s">
        <v>180</v>
      </c>
      <c r="B10" s="27" t="s">
        <v>159</v>
      </c>
      <c r="C10" s="125" t="s">
        <v>58</v>
      </c>
      <c r="D10" s="27" t="s">
        <v>181</v>
      </c>
      <c r="E10" s="27" t="b">
        <v>1</v>
      </c>
      <c r="F10" s="27">
        <v>8</v>
      </c>
      <c r="G10" s="27">
        <v>20</v>
      </c>
      <c r="H10" s="27">
        <v>150</v>
      </c>
      <c r="I10" s="27">
        <v>6</v>
      </c>
      <c r="J10" s="27" t="s">
        <v>182</v>
      </c>
      <c r="K10" s="27">
        <v>20</v>
      </c>
      <c r="L10" s="27">
        <v>120</v>
      </c>
      <c r="M10" s="27" t="s">
        <v>175</v>
      </c>
      <c r="N10" s="27">
        <v>4</v>
      </c>
      <c r="O10" s="27">
        <v>4</v>
      </c>
      <c r="P10" s="27"/>
      <c r="Q10" s="27"/>
      <c r="R10" s="27">
        <v>550</v>
      </c>
      <c r="S10" s="27">
        <v>550</v>
      </c>
      <c r="T10" s="27">
        <v>1200</v>
      </c>
      <c r="U10" s="27"/>
      <c r="V10" s="27" t="s">
        <v>7</v>
      </c>
      <c r="W10" s="27" t="s">
        <v>163</v>
      </c>
    </row>
    <row r="11">
      <c r="A11" s="125" t="s">
        <v>183</v>
      </c>
      <c r="B11" s="27" t="s">
        <v>159</v>
      </c>
      <c r="C11" s="125" t="s">
        <v>58</v>
      </c>
      <c r="D11" s="27" t="s">
        <v>184</v>
      </c>
      <c r="E11" s="27" t="b">
        <v>1</v>
      </c>
      <c r="F11" s="27">
        <v>8</v>
      </c>
      <c r="G11" s="27">
        <v>30</v>
      </c>
      <c r="H11" s="27">
        <v>300</v>
      </c>
      <c r="I11" s="27">
        <v>10</v>
      </c>
      <c r="J11" s="27" t="s">
        <v>185</v>
      </c>
      <c r="K11" s="27">
        <v>20</v>
      </c>
      <c r="L11" s="27">
        <v>120</v>
      </c>
      <c r="M11" s="27" t="s">
        <v>175</v>
      </c>
      <c r="N11" s="27">
        <v>7.5</v>
      </c>
      <c r="O11" s="27">
        <v>7.5</v>
      </c>
      <c r="P11" s="27"/>
      <c r="Q11" s="27"/>
      <c r="R11" s="27">
        <v>650</v>
      </c>
      <c r="S11" s="27">
        <v>650</v>
      </c>
      <c r="T11" s="27">
        <v>1520</v>
      </c>
      <c r="U11" s="27"/>
      <c r="V11" s="27" t="s">
        <v>7</v>
      </c>
      <c r="W11" s="27" t="s">
        <v>163</v>
      </c>
    </row>
    <row r="12">
      <c r="A12" s="125" t="s">
        <v>186</v>
      </c>
      <c r="B12" s="27" t="s">
        <v>159</v>
      </c>
      <c r="C12" s="125" t="s">
        <v>58</v>
      </c>
      <c r="D12" s="27" t="s">
        <v>187</v>
      </c>
      <c r="E12" s="27" t="b">
        <v>1</v>
      </c>
      <c r="F12" s="27">
        <v>8</v>
      </c>
      <c r="G12" s="27">
        <v>50</v>
      </c>
      <c r="H12" s="27">
        <v>400</v>
      </c>
      <c r="I12" s="27">
        <v>10</v>
      </c>
      <c r="J12" s="27" t="s">
        <v>185</v>
      </c>
      <c r="K12" s="27">
        <v>20</v>
      </c>
      <c r="L12" s="27">
        <v>120</v>
      </c>
      <c r="M12" s="27" t="s">
        <v>175</v>
      </c>
      <c r="N12" s="27">
        <v>11</v>
      </c>
      <c r="O12" s="27">
        <v>11</v>
      </c>
      <c r="P12" s="27"/>
      <c r="Q12" s="27"/>
      <c r="R12" s="27">
        <v>780</v>
      </c>
      <c r="S12" s="27">
        <v>780</v>
      </c>
      <c r="T12" s="27">
        <v>1600</v>
      </c>
      <c r="U12" s="27"/>
      <c r="V12" s="27" t="s">
        <v>7</v>
      </c>
      <c r="W12" s="27" t="s">
        <v>163</v>
      </c>
    </row>
    <row r="13">
      <c r="A13" s="125" t="s">
        <v>188</v>
      </c>
      <c r="B13" s="27" t="s">
        <v>159</v>
      </c>
      <c r="C13" s="125" t="s">
        <v>58</v>
      </c>
      <c r="D13" s="27" t="s">
        <v>189</v>
      </c>
      <c r="E13" s="27" t="b">
        <v>1</v>
      </c>
      <c r="F13" s="27">
        <v>8</v>
      </c>
      <c r="G13" s="27">
        <v>100</v>
      </c>
      <c r="H13" s="27">
        <v>800</v>
      </c>
      <c r="I13" s="27">
        <v>10</v>
      </c>
      <c r="J13" s="27" t="s">
        <v>185</v>
      </c>
      <c r="K13" s="27">
        <v>20</v>
      </c>
      <c r="L13" s="27">
        <v>120</v>
      </c>
      <c r="M13" s="27" t="s">
        <v>175</v>
      </c>
      <c r="N13" s="27">
        <v>15</v>
      </c>
      <c r="O13" s="27">
        <v>15</v>
      </c>
      <c r="P13" s="27"/>
      <c r="Q13" s="27"/>
      <c r="R13" s="27">
        <v>850</v>
      </c>
      <c r="S13" s="27">
        <v>850</v>
      </c>
      <c r="T13" s="27">
        <v>1650</v>
      </c>
      <c r="U13" s="27"/>
      <c r="V13" s="27" t="s">
        <v>7</v>
      </c>
      <c r="W13" s="27" t="s">
        <v>163</v>
      </c>
    </row>
    <row r="14">
      <c r="A14" s="125" t="s">
        <v>190</v>
      </c>
      <c r="B14" s="27" t="s">
        <v>159</v>
      </c>
      <c r="C14" s="125" t="s">
        <v>67</v>
      </c>
      <c r="D14" s="27" t="s">
        <v>191</v>
      </c>
      <c r="E14" s="27" t="b">
        <v>1</v>
      </c>
      <c r="F14" s="27">
        <v>8</v>
      </c>
      <c r="G14" s="27">
        <v>50</v>
      </c>
      <c r="H14" s="27">
        <v>400</v>
      </c>
      <c r="I14" s="27"/>
      <c r="J14" s="27"/>
      <c r="K14" s="27">
        <v>10</v>
      </c>
      <c r="L14" s="27">
        <v>120</v>
      </c>
      <c r="M14" s="27" t="s">
        <v>175</v>
      </c>
      <c r="N14" s="27">
        <v>7.5</v>
      </c>
      <c r="O14" s="27">
        <v>7.5</v>
      </c>
      <c r="P14" s="27">
        <v>4000</v>
      </c>
      <c r="Q14" s="27">
        <v>4000</v>
      </c>
      <c r="R14" s="27"/>
      <c r="S14" s="27"/>
      <c r="T14" s="27"/>
      <c r="U14" s="27"/>
      <c r="V14" s="27" t="s">
        <v>7</v>
      </c>
      <c r="W14" s="27" t="s">
        <v>163</v>
      </c>
    </row>
    <row r="15">
      <c r="A15" s="125" t="s">
        <v>192</v>
      </c>
      <c r="B15" s="27" t="s">
        <v>159</v>
      </c>
      <c r="C15" s="125" t="s">
        <v>67</v>
      </c>
      <c r="D15" s="27" t="s">
        <v>193</v>
      </c>
      <c r="E15" s="27" t="b">
        <v>1</v>
      </c>
      <c r="F15" s="27">
        <v>8</v>
      </c>
      <c r="G15" s="27">
        <v>100</v>
      </c>
      <c r="H15" s="27">
        <v>800</v>
      </c>
      <c r="I15" s="27"/>
      <c r="J15" s="27"/>
      <c r="K15" s="27">
        <v>10</v>
      </c>
      <c r="L15" s="27">
        <v>120</v>
      </c>
      <c r="M15" s="27" t="s">
        <v>175</v>
      </c>
      <c r="N15" s="27">
        <v>11</v>
      </c>
      <c r="O15" s="27">
        <v>11</v>
      </c>
      <c r="P15" s="27">
        <v>3400</v>
      </c>
      <c r="Q15" s="27">
        <v>3400</v>
      </c>
      <c r="R15" s="27"/>
      <c r="S15" s="27"/>
      <c r="T15" s="27"/>
      <c r="U15" s="27"/>
      <c r="V15" s="27" t="s">
        <v>7</v>
      </c>
      <c r="W15" s="27" t="s">
        <v>163</v>
      </c>
    </row>
    <row r="16">
      <c r="A16" s="125" t="s">
        <v>194</v>
      </c>
      <c r="B16" s="27" t="s">
        <v>159</v>
      </c>
      <c r="C16" s="125" t="s">
        <v>67</v>
      </c>
      <c r="D16" s="27" t="s">
        <v>195</v>
      </c>
      <c r="E16" s="27" t="b">
        <v>1</v>
      </c>
      <c r="F16" s="27">
        <v>8</v>
      </c>
      <c r="G16" s="27">
        <v>200</v>
      </c>
      <c r="H16" s="27">
        <v>1000</v>
      </c>
      <c r="I16" s="27"/>
      <c r="J16" s="27"/>
      <c r="K16" s="27">
        <v>10</v>
      </c>
      <c r="L16" s="27">
        <v>120</v>
      </c>
      <c r="M16" s="27" t="s">
        <v>175</v>
      </c>
      <c r="N16" s="27">
        <v>15</v>
      </c>
      <c r="O16" s="27">
        <v>18.5</v>
      </c>
      <c r="P16" s="27">
        <v>3000</v>
      </c>
      <c r="Q16" s="27">
        <v>3000</v>
      </c>
      <c r="R16" s="27"/>
      <c r="S16" s="27"/>
      <c r="T16" s="27"/>
      <c r="U16" s="27"/>
      <c r="V16" s="27" t="s">
        <v>7</v>
      </c>
      <c r="W16" s="27" t="s">
        <v>163</v>
      </c>
    </row>
    <row r="17">
      <c r="A17" s="125" t="s">
        <v>196</v>
      </c>
      <c r="B17" s="27" t="s">
        <v>159</v>
      </c>
      <c r="C17" s="125" t="s">
        <v>67</v>
      </c>
      <c r="D17" s="27" t="s">
        <v>197</v>
      </c>
      <c r="E17" s="27" t="b">
        <v>1</v>
      </c>
      <c r="F17" s="27">
        <v>8</v>
      </c>
      <c r="G17" s="27">
        <v>300</v>
      </c>
      <c r="H17" s="27">
        <v>1500</v>
      </c>
      <c r="I17" s="27"/>
      <c r="J17" s="27"/>
      <c r="K17" s="27">
        <v>10</v>
      </c>
      <c r="L17" s="27">
        <v>120</v>
      </c>
      <c r="M17" s="27" t="s">
        <v>175</v>
      </c>
      <c r="N17" s="27">
        <v>22</v>
      </c>
      <c r="O17" s="27">
        <v>30</v>
      </c>
      <c r="P17" s="27">
        <v>2800</v>
      </c>
      <c r="Q17" s="27">
        <v>2800</v>
      </c>
      <c r="R17" s="27"/>
      <c r="S17" s="27"/>
      <c r="T17" s="27"/>
      <c r="U17" s="27"/>
      <c r="V17" s="27" t="s">
        <v>7</v>
      </c>
      <c r="W17" s="27" t="s">
        <v>163</v>
      </c>
    </row>
    <row r="18">
      <c r="A18" s="125" t="s">
        <v>198</v>
      </c>
      <c r="B18" s="27" t="s">
        <v>159</v>
      </c>
      <c r="C18" s="125" t="s">
        <v>67</v>
      </c>
      <c r="D18" s="27" t="s">
        <v>199</v>
      </c>
      <c r="E18" s="27" t="b">
        <v>1</v>
      </c>
      <c r="F18" s="27">
        <v>8</v>
      </c>
      <c r="G18" s="27">
        <v>450</v>
      </c>
      <c r="H18" s="27">
        <v>2000</v>
      </c>
      <c r="I18" s="27"/>
      <c r="J18" s="27"/>
      <c r="K18" s="27">
        <v>10</v>
      </c>
      <c r="L18" s="27">
        <v>120</v>
      </c>
      <c r="M18" s="27" t="s">
        <v>175</v>
      </c>
      <c r="N18" s="27">
        <v>37</v>
      </c>
      <c r="O18" s="27">
        <v>45</v>
      </c>
      <c r="P18" s="27">
        <v>2100</v>
      </c>
      <c r="Q18" s="27">
        <v>2100</v>
      </c>
      <c r="R18" s="27"/>
      <c r="S18" s="27"/>
      <c r="T18" s="27"/>
      <c r="U18" s="27"/>
      <c r="V18" s="27" t="s">
        <v>7</v>
      </c>
      <c r="W18" s="27" t="s">
        <v>163</v>
      </c>
    </row>
    <row r="19">
      <c r="A19" s="125" t="s">
        <v>200</v>
      </c>
      <c r="B19" s="27" t="s">
        <v>159</v>
      </c>
      <c r="C19" s="125" t="s">
        <v>67</v>
      </c>
      <c r="D19" s="27" t="s">
        <v>201</v>
      </c>
      <c r="E19" s="27" t="b">
        <v>1</v>
      </c>
      <c r="F19" s="27">
        <v>8</v>
      </c>
      <c r="G19" s="27">
        <v>600</v>
      </c>
      <c r="H19" s="27">
        <v>3000</v>
      </c>
      <c r="I19" s="27"/>
      <c r="J19" s="27"/>
      <c r="K19" s="27">
        <v>10</v>
      </c>
      <c r="L19" s="27">
        <v>120</v>
      </c>
      <c r="M19" s="27" t="s">
        <v>175</v>
      </c>
      <c r="N19" s="27">
        <v>55</v>
      </c>
      <c r="O19" s="27">
        <v>55</v>
      </c>
      <c r="P19" s="27">
        <v>1400</v>
      </c>
      <c r="Q19" s="27">
        <v>1400</v>
      </c>
      <c r="R19" s="27"/>
      <c r="S19" s="27"/>
      <c r="T19" s="27"/>
      <c r="U19" s="27"/>
      <c r="V19" s="27" t="s">
        <v>7</v>
      </c>
      <c r="W19" s="27" t="s">
        <v>163</v>
      </c>
    </row>
    <row r="20">
      <c r="A20" s="125" t="s">
        <v>202</v>
      </c>
      <c r="B20" s="27" t="s">
        <v>159</v>
      </c>
      <c r="C20" s="125" t="s">
        <v>75</v>
      </c>
      <c r="D20" s="27" t="s">
        <v>203</v>
      </c>
      <c r="E20" s="27" t="b">
        <v>1</v>
      </c>
      <c r="F20" s="27">
        <v>11</v>
      </c>
      <c r="G20" s="27">
        <v>10</v>
      </c>
      <c r="H20" s="27">
        <v>100</v>
      </c>
      <c r="I20" s="27">
        <v>8</v>
      </c>
      <c r="J20" s="27" t="s">
        <v>204</v>
      </c>
      <c r="K20" s="27">
        <v>60</v>
      </c>
      <c r="L20" s="27">
        <v>2500</v>
      </c>
      <c r="M20" s="27" t="s">
        <v>175</v>
      </c>
      <c r="N20" s="27">
        <v>5.5</v>
      </c>
      <c r="O20" s="27">
        <v>5.5</v>
      </c>
      <c r="P20" s="27">
        <v>8400</v>
      </c>
      <c r="Q20" s="27">
        <v>8400</v>
      </c>
      <c r="R20" s="27"/>
      <c r="S20" s="27"/>
      <c r="T20" s="27"/>
      <c r="U20" s="27"/>
      <c r="V20" s="27" t="s">
        <v>7</v>
      </c>
      <c r="W20" s="27" t="s">
        <v>163</v>
      </c>
    </row>
    <row r="21">
      <c r="A21" s="125" t="s">
        <v>205</v>
      </c>
      <c r="B21" s="27" t="s">
        <v>159</v>
      </c>
      <c r="C21" s="125" t="s">
        <v>75</v>
      </c>
      <c r="D21" s="27" t="s">
        <v>206</v>
      </c>
      <c r="E21" s="27" t="b">
        <v>1</v>
      </c>
      <c r="F21" s="27">
        <v>11</v>
      </c>
      <c r="G21" s="27">
        <v>20</v>
      </c>
      <c r="H21" s="27">
        <v>200</v>
      </c>
      <c r="I21" s="27">
        <v>15</v>
      </c>
      <c r="J21" s="27" t="s">
        <v>207</v>
      </c>
      <c r="K21" s="27">
        <v>60</v>
      </c>
      <c r="L21" s="27">
        <v>2500</v>
      </c>
      <c r="M21" s="27" t="s">
        <v>175</v>
      </c>
      <c r="N21" s="27">
        <v>15</v>
      </c>
      <c r="O21" s="27">
        <v>18.5</v>
      </c>
      <c r="P21" s="27">
        <v>6500</v>
      </c>
      <c r="Q21" s="27">
        <v>6500</v>
      </c>
      <c r="R21" s="27"/>
      <c r="S21" s="27"/>
      <c r="T21" s="27"/>
      <c r="U21" s="27"/>
      <c r="V21" s="27" t="s">
        <v>7</v>
      </c>
      <c r="W21" s="27" t="s">
        <v>163</v>
      </c>
    </row>
    <row r="22">
      <c r="A22" s="125" t="s">
        <v>208</v>
      </c>
      <c r="B22" s="27" t="s">
        <v>159</v>
      </c>
      <c r="C22" s="125" t="s">
        <v>75</v>
      </c>
      <c r="D22" s="27" t="s">
        <v>209</v>
      </c>
      <c r="E22" s="27" t="b">
        <v>1</v>
      </c>
      <c r="F22" s="27">
        <v>11</v>
      </c>
      <c r="G22" s="27">
        <v>40</v>
      </c>
      <c r="H22" s="27">
        <v>500</v>
      </c>
      <c r="I22" s="27">
        <v>15</v>
      </c>
      <c r="J22" s="27" t="s">
        <v>207</v>
      </c>
      <c r="K22" s="27">
        <v>60</v>
      </c>
      <c r="L22" s="27">
        <v>2500</v>
      </c>
      <c r="M22" s="27" t="s">
        <v>175</v>
      </c>
      <c r="N22" s="27">
        <v>18.5</v>
      </c>
      <c r="O22" s="27">
        <v>22</v>
      </c>
      <c r="P22" s="27">
        <v>5600</v>
      </c>
      <c r="Q22" s="27">
        <v>5600</v>
      </c>
      <c r="R22" s="27"/>
      <c r="S22" s="27"/>
      <c r="T22" s="27"/>
      <c r="U22" s="27"/>
      <c r="V22" s="27" t="s">
        <v>7</v>
      </c>
      <c r="W22" s="27" t="s">
        <v>163</v>
      </c>
    </row>
    <row r="23">
      <c r="A23" s="125" t="s">
        <v>210</v>
      </c>
      <c r="B23" s="27" t="s">
        <v>159</v>
      </c>
      <c r="C23" s="125" t="s">
        <v>75</v>
      </c>
      <c r="D23" s="27" t="s">
        <v>211</v>
      </c>
      <c r="E23" s="27" t="b">
        <v>1</v>
      </c>
      <c r="F23" s="27">
        <v>11</v>
      </c>
      <c r="G23" s="27">
        <v>50</v>
      </c>
      <c r="H23" s="27">
        <v>800</v>
      </c>
      <c r="I23" s="27">
        <v>15</v>
      </c>
      <c r="J23" s="27" t="s">
        <v>207</v>
      </c>
      <c r="K23" s="27">
        <v>60</v>
      </c>
      <c r="L23" s="27">
        <v>2500</v>
      </c>
      <c r="M23" s="27" t="s">
        <v>175</v>
      </c>
      <c r="N23" s="27">
        <v>30</v>
      </c>
      <c r="O23" s="27">
        <v>37</v>
      </c>
      <c r="P23" s="27">
        <v>4400</v>
      </c>
      <c r="Q23" s="27">
        <v>4400</v>
      </c>
      <c r="R23" s="27"/>
      <c r="S23" s="27"/>
      <c r="T23" s="27"/>
      <c r="U23" s="27"/>
      <c r="V23" s="27" t="s">
        <v>7</v>
      </c>
      <c r="W23" s="27" t="s">
        <v>163</v>
      </c>
    </row>
    <row r="24">
      <c r="A24" s="125" t="s">
        <v>212</v>
      </c>
      <c r="B24" s="27" t="s">
        <v>159</v>
      </c>
      <c r="C24" s="125" t="s">
        <v>75</v>
      </c>
      <c r="D24" s="27" t="s">
        <v>213</v>
      </c>
      <c r="E24" s="27" t="b">
        <v>1</v>
      </c>
      <c r="F24" s="27">
        <v>11</v>
      </c>
      <c r="G24" s="27">
        <v>120</v>
      </c>
      <c r="H24" s="27">
        <v>1800</v>
      </c>
      <c r="I24" s="27">
        <v>15</v>
      </c>
      <c r="J24" s="27" t="s">
        <v>207</v>
      </c>
      <c r="K24" s="27">
        <v>60</v>
      </c>
      <c r="L24" s="27">
        <v>2500</v>
      </c>
      <c r="M24" s="27" t="s">
        <v>175</v>
      </c>
      <c r="N24" s="27">
        <v>55</v>
      </c>
      <c r="O24" s="27">
        <v>75</v>
      </c>
      <c r="P24" s="27">
        <v>3100</v>
      </c>
      <c r="Q24" s="27">
        <v>3100</v>
      </c>
      <c r="R24" s="27"/>
      <c r="S24" s="27"/>
      <c r="T24" s="27"/>
      <c r="U24" s="27"/>
      <c r="V24" s="27" t="s">
        <v>7</v>
      </c>
      <c r="W24" s="27" t="s">
        <v>163</v>
      </c>
    </row>
    <row r="25">
      <c r="A25" s="125" t="s">
        <v>214</v>
      </c>
      <c r="B25" s="27" t="s">
        <v>159</v>
      </c>
      <c r="C25" s="125" t="s">
        <v>75</v>
      </c>
      <c r="D25" s="27" t="s">
        <v>215</v>
      </c>
      <c r="E25" s="27" t="b">
        <v>1</v>
      </c>
      <c r="F25" s="27">
        <v>11</v>
      </c>
      <c r="G25" s="27">
        <v>800</v>
      </c>
      <c r="H25" s="27">
        <v>2500</v>
      </c>
      <c r="I25" s="27">
        <v>20</v>
      </c>
      <c r="J25" s="27" t="s">
        <v>216</v>
      </c>
      <c r="K25" s="27">
        <v>60</v>
      </c>
      <c r="L25" s="27">
        <v>2500</v>
      </c>
      <c r="M25" s="27" t="s">
        <v>175</v>
      </c>
      <c r="N25" s="27">
        <v>90</v>
      </c>
      <c r="O25" s="27">
        <v>90</v>
      </c>
      <c r="P25" s="27">
        <v>2450</v>
      </c>
      <c r="Q25" s="27">
        <v>2450</v>
      </c>
      <c r="R25" s="27"/>
      <c r="S25" s="27"/>
      <c r="T25" s="27"/>
      <c r="U25" s="27"/>
      <c r="V25" s="27" t="s">
        <v>7</v>
      </c>
      <c r="W25" s="27" t="s">
        <v>163</v>
      </c>
    </row>
    <row r="26">
      <c r="A26" s="125" t="s">
        <v>217</v>
      </c>
      <c r="B26" s="27" t="s">
        <v>159</v>
      </c>
      <c r="C26" s="125" t="s">
        <v>75</v>
      </c>
      <c r="D26" s="27" t="s">
        <v>218</v>
      </c>
      <c r="E26" s="27" t="b">
        <v>1</v>
      </c>
      <c r="F26" s="27">
        <v>11</v>
      </c>
      <c r="G26" s="27">
        <v>1000</v>
      </c>
      <c r="H26" s="27">
        <v>3600</v>
      </c>
      <c r="I26" s="27">
        <v>20</v>
      </c>
      <c r="J26" s="27" t="s">
        <v>216</v>
      </c>
      <c r="K26" s="27">
        <v>60</v>
      </c>
      <c r="L26" s="27">
        <v>2500</v>
      </c>
      <c r="M26" s="27" t="s">
        <v>175</v>
      </c>
      <c r="N26" s="27">
        <v>110</v>
      </c>
      <c r="O26" s="27">
        <v>110</v>
      </c>
      <c r="P26" s="27">
        <v>2450</v>
      </c>
      <c r="Q26" s="27">
        <v>2450</v>
      </c>
      <c r="R26" s="27"/>
      <c r="S26" s="27"/>
      <c r="T26" s="27"/>
      <c r="U26" s="27"/>
      <c r="V26" s="27" t="s">
        <v>7</v>
      </c>
      <c r="W26" s="27" t="s">
        <v>163</v>
      </c>
    </row>
    <row r="27">
      <c r="A27" s="125" t="s">
        <v>219</v>
      </c>
      <c r="B27" s="27" t="s">
        <v>159</v>
      </c>
      <c r="C27" s="125" t="s">
        <v>84</v>
      </c>
      <c r="D27" s="27" t="s">
        <v>220</v>
      </c>
      <c r="E27" s="27" t="b">
        <v>1</v>
      </c>
      <c r="F27" s="27">
        <v>13</v>
      </c>
      <c r="G27" s="27">
        <v>50</v>
      </c>
      <c r="H27" s="27">
        <v>300</v>
      </c>
      <c r="I27" s="27">
        <v>5</v>
      </c>
      <c r="J27" s="27" t="s">
        <v>221</v>
      </c>
      <c r="K27" s="27">
        <v>40</v>
      </c>
      <c r="L27" s="27">
        <v>500</v>
      </c>
      <c r="M27" s="27" t="s">
        <v>175</v>
      </c>
      <c r="N27" s="27">
        <v>11</v>
      </c>
      <c r="O27" s="27">
        <v>11</v>
      </c>
      <c r="P27" s="27">
        <v>17000</v>
      </c>
      <c r="Q27" s="27">
        <v>17000</v>
      </c>
      <c r="R27" s="27"/>
      <c r="S27" s="27"/>
      <c r="T27" s="27"/>
      <c r="U27" s="27"/>
      <c r="V27" s="27" t="s">
        <v>7</v>
      </c>
      <c r="W27" s="27" t="s">
        <v>163</v>
      </c>
    </row>
    <row r="28">
      <c r="A28" s="125" t="s">
        <v>222</v>
      </c>
      <c r="B28" s="27" t="s">
        <v>159</v>
      </c>
      <c r="C28" s="125" t="s">
        <v>84</v>
      </c>
      <c r="D28" s="27" t="s">
        <v>223</v>
      </c>
      <c r="E28" s="27" t="b">
        <v>1</v>
      </c>
      <c r="F28" s="27">
        <v>13</v>
      </c>
      <c r="G28" s="27">
        <v>100</v>
      </c>
      <c r="H28" s="27">
        <v>1000</v>
      </c>
      <c r="I28" s="27">
        <v>15</v>
      </c>
      <c r="J28" s="27" t="s">
        <v>207</v>
      </c>
      <c r="K28" s="27">
        <v>40</v>
      </c>
      <c r="L28" s="27">
        <v>500</v>
      </c>
      <c r="M28" s="27" t="s">
        <v>175</v>
      </c>
      <c r="N28" s="27">
        <v>15</v>
      </c>
      <c r="O28" s="27">
        <v>18.5</v>
      </c>
      <c r="P28" s="27">
        <v>12000</v>
      </c>
      <c r="Q28" s="27">
        <v>12000</v>
      </c>
      <c r="R28" s="27"/>
      <c r="S28" s="27"/>
      <c r="T28" s="27"/>
      <c r="U28" s="27"/>
      <c r="V28" s="27" t="s">
        <v>7</v>
      </c>
      <c r="W28" s="27" t="s">
        <v>163</v>
      </c>
    </row>
    <row r="29">
      <c r="A29" s="125" t="s">
        <v>224</v>
      </c>
      <c r="B29" s="27" t="s">
        <v>159</v>
      </c>
      <c r="C29" s="125" t="s">
        <v>84</v>
      </c>
      <c r="D29" s="27" t="s">
        <v>225</v>
      </c>
      <c r="E29" s="27" t="b">
        <v>1</v>
      </c>
      <c r="F29" s="27">
        <v>13</v>
      </c>
      <c r="G29" s="27">
        <v>300</v>
      </c>
      <c r="H29" s="27">
        <v>1500</v>
      </c>
      <c r="I29" s="27">
        <v>15</v>
      </c>
      <c r="J29" s="27" t="s">
        <v>207</v>
      </c>
      <c r="K29" s="27">
        <v>40</v>
      </c>
      <c r="L29" s="27">
        <v>500</v>
      </c>
      <c r="M29" s="27" t="s">
        <v>175</v>
      </c>
      <c r="N29" s="27">
        <v>22</v>
      </c>
      <c r="O29" s="27">
        <v>30</v>
      </c>
      <c r="P29" s="27">
        <v>9600</v>
      </c>
      <c r="Q29" s="27">
        <v>9600</v>
      </c>
      <c r="R29" s="27"/>
      <c r="S29" s="27"/>
      <c r="T29" s="27"/>
      <c r="U29" s="27"/>
      <c r="V29" s="27" t="s">
        <v>7</v>
      </c>
      <c r="W29" s="27" t="s">
        <v>163</v>
      </c>
    </row>
    <row r="30">
      <c r="A30" s="125" t="s">
        <v>226</v>
      </c>
      <c r="B30" s="27" t="s">
        <v>159</v>
      </c>
      <c r="C30" s="125" t="s">
        <v>84</v>
      </c>
      <c r="D30" s="27" t="s">
        <v>227</v>
      </c>
      <c r="E30" s="27" t="b">
        <v>1</v>
      </c>
      <c r="F30" s="27">
        <v>13</v>
      </c>
      <c r="G30" s="27">
        <v>600</v>
      </c>
      <c r="H30" s="27">
        <v>2000</v>
      </c>
      <c r="I30" s="27">
        <v>15</v>
      </c>
      <c r="J30" s="27" t="s">
        <v>207</v>
      </c>
      <c r="K30" s="27">
        <v>40</v>
      </c>
      <c r="L30" s="27">
        <v>500</v>
      </c>
      <c r="M30" s="27" t="s">
        <v>175</v>
      </c>
      <c r="N30" s="27">
        <v>30</v>
      </c>
      <c r="O30" s="27">
        <v>37</v>
      </c>
      <c r="P30" s="27">
        <v>8400</v>
      </c>
      <c r="Q30" s="27">
        <v>8400</v>
      </c>
      <c r="R30" s="27"/>
      <c r="S30" s="27"/>
      <c r="T30" s="27"/>
      <c r="U30" s="27"/>
      <c r="V30" s="27" t="s">
        <v>7</v>
      </c>
      <c r="W30" s="27" t="s">
        <v>163</v>
      </c>
    </row>
    <row r="31">
      <c r="A31" s="125" t="s">
        <v>228</v>
      </c>
      <c r="B31" s="27" t="s">
        <v>159</v>
      </c>
      <c r="C31" s="125" t="s">
        <v>84</v>
      </c>
      <c r="D31" s="27" t="s">
        <v>229</v>
      </c>
      <c r="E31" s="27" t="b">
        <v>1</v>
      </c>
      <c r="F31" s="27">
        <v>13</v>
      </c>
      <c r="G31" s="27">
        <v>1000</v>
      </c>
      <c r="H31" s="27">
        <v>2500</v>
      </c>
      <c r="I31" s="27">
        <v>25</v>
      </c>
      <c r="J31" s="27" t="s">
        <v>230</v>
      </c>
      <c r="K31" s="27">
        <v>40</v>
      </c>
      <c r="L31" s="27">
        <v>500</v>
      </c>
      <c r="M31" s="27" t="s">
        <v>175</v>
      </c>
      <c r="N31" s="27">
        <v>55</v>
      </c>
      <c r="O31" s="27">
        <v>55</v>
      </c>
      <c r="P31" s="27">
        <v>6600</v>
      </c>
      <c r="Q31" s="27">
        <v>6600</v>
      </c>
      <c r="R31" s="27"/>
      <c r="S31" s="27"/>
      <c r="T31" s="27"/>
      <c r="U31" s="27"/>
      <c r="V31" s="27" t="s">
        <v>7</v>
      </c>
      <c r="W31" s="27" t="s">
        <v>163</v>
      </c>
    </row>
    <row r="32">
      <c r="A32" s="125" t="s">
        <v>231</v>
      </c>
      <c r="B32" s="27" t="s">
        <v>159</v>
      </c>
      <c r="C32" s="125" t="s">
        <v>811</v>
      </c>
      <c r="D32" s="27" t="s">
        <v>232</v>
      </c>
      <c r="E32" s="27" t="b">
        <v>1</v>
      </c>
      <c r="F32" s="27">
        <v>15</v>
      </c>
      <c r="G32" s="27">
        <v>50</v>
      </c>
      <c r="H32" s="27">
        <v>300</v>
      </c>
      <c r="I32" s="27"/>
      <c r="J32" s="27"/>
      <c r="K32" s="27">
        <v>12</v>
      </c>
      <c r="L32" s="27">
        <v>120</v>
      </c>
      <c r="M32" s="27" t="s">
        <v>175</v>
      </c>
      <c r="N32" s="27">
        <v>7.5</v>
      </c>
      <c r="O32" s="27">
        <v>7.5</v>
      </c>
      <c r="P32" s="27"/>
      <c r="Q32" s="27"/>
      <c r="R32" s="27"/>
      <c r="S32" s="27"/>
      <c r="T32" s="27"/>
      <c r="U32" s="27"/>
      <c r="V32" s="27" t="s">
        <v>7</v>
      </c>
      <c r="W32" s="27" t="s">
        <v>163</v>
      </c>
    </row>
    <row r="33">
      <c r="A33" s="125" t="s">
        <v>233</v>
      </c>
      <c r="B33" s="27" t="s">
        <v>159</v>
      </c>
      <c r="C33" s="125" t="s">
        <v>811</v>
      </c>
      <c r="D33" s="27" t="s">
        <v>234</v>
      </c>
      <c r="E33" s="27" t="b">
        <v>1</v>
      </c>
      <c r="F33" s="27">
        <v>15</v>
      </c>
      <c r="G33" s="27">
        <v>100</v>
      </c>
      <c r="H33" s="27">
        <v>400</v>
      </c>
      <c r="I33" s="27"/>
      <c r="J33" s="27"/>
      <c r="K33" s="27">
        <v>12</v>
      </c>
      <c r="L33" s="27">
        <v>120</v>
      </c>
      <c r="M33" s="27" t="s">
        <v>175</v>
      </c>
      <c r="N33" s="27">
        <v>11</v>
      </c>
      <c r="O33" s="27">
        <v>11</v>
      </c>
      <c r="P33" s="27"/>
      <c r="Q33" s="27"/>
      <c r="R33" s="27"/>
      <c r="S33" s="27"/>
      <c r="T33" s="27"/>
      <c r="U33" s="27"/>
      <c r="V33" s="27" t="s">
        <v>7</v>
      </c>
      <c r="W33" s="27" t="s">
        <v>163</v>
      </c>
    </row>
    <row r="34">
      <c r="A34" s="125" t="s">
        <v>235</v>
      </c>
      <c r="B34" s="27" t="s">
        <v>159</v>
      </c>
      <c r="C34" s="125" t="s">
        <v>93</v>
      </c>
      <c r="D34" s="27" t="s">
        <v>236</v>
      </c>
      <c r="E34" s="27" t="b">
        <v>1</v>
      </c>
      <c r="F34" s="27">
        <v>15</v>
      </c>
      <c r="G34" s="27">
        <v>50</v>
      </c>
      <c r="H34" s="27">
        <v>300</v>
      </c>
      <c r="I34" s="27"/>
      <c r="J34" s="27"/>
      <c r="K34" s="27">
        <v>12</v>
      </c>
      <c r="L34" s="27">
        <v>120</v>
      </c>
      <c r="M34" s="27" t="s">
        <v>175</v>
      </c>
      <c r="N34" s="27">
        <v>7.5</v>
      </c>
      <c r="O34" s="27">
        <v>7.5</v>
      </c>
      <c r="P34" s="27"/>
      <c r="Q34" s="27"/>
      <c r="R34" s="27"/>
      <c r="S34" s="27"/>
      <c r="T34" s="27"/>
      <c r="U34" s="27"/>
      <c r="V34" s="27" t="s">
        <v>7</v>
      </c>
      <c r="W34" s="27" t="s">
        <v>163</v>
      </c>
    </row>
    <row r="35">
      <c r="A35" s="125" t="s">
        <v>237</v>
      </c>
      <c r="B35" s="27" t="s">
        <v>159</v>
      </c>
      <c r="C35" s="125" t="s">
        <v>93</v>
      </c>
      <c r="D35" s="27" t="s">
        <v>238</v>
      </c>
      <c r="E35" s="27" t="b">
        <v>1</v>
      </c>
      <c r="F35" s="27">
        <v>15</v>
      </c>
      <c r="G35" s="27">
        <v>100</v>
      </c>
      <c r="H35" s="27">
        <v>400</v>
      </c>
      <c r="I35" s="27"/>
      <c r="J35" s="27"/>
      <c r="K35" s="27">
        <v>12</v>
      </c>
      <c r="L35" s="27">
        <v>120</v>
      </c>
      <c r="M35" s="27" t="s">
        <v>175</v>
      </c>
      <c r="N35" s="27">
        <v>11</v>
      </c>
      <c r="O35" s="27">
        <v>11</v>
      </c>
      <c r="P35" s="27"/>
      <c r="Q35" s="27"/>
      <c r="R35" s="27"/>
      <c r="S35" s="27"/>
      <c r="T35" s="27"/>
      <c r="U35" s="27"/>
      <c r="V35" s="27" t="s">
        <v>7</v>
      </c>
      <c r="W35" s="27" t="s">
        <v>163</v>
      </c>
    </row>
    <row r="36">
      <c r="A36" s="125" t="s">
        <v>239</v>
      </c>
      <c r="B36" s="27" t="s">
        <v>159</v>
      </c>
      <c r="C36" s="125" t="s">
        <v>93</v>
      </c>
      <c r="D36" s="27" t="s">
        <v>240</v>
      </c>
      <c r="E36" s="27" t="b">
        <v>1</v>
      </c>
      <c r="F36" s="27">
        <v>15</v>
      </c>
      <c r="G36" s="27">
        <v>100</v>
      </c>
      <c r="H36" s="27">
        <v>1200</v>
      </c>
      <c r="I36" s="27"/>
      <c r="J36" s="27"/>
      <c r="K36" s="27">
        <v>12</v>
      </c>
      <c r="L36" s="27">
        <v>120</v>
      </c>
      <c r="M36" s="27" t="s">
        <v>175</v>
      </c>
      <c r="N36" s="27">
        <v>22</v>
      </c>
      <c r="O36" s="27">
        <v>37</v>
      </c>
      <c r="P36" s="27"/>
      <c r="Q36" s="27"/>
      <c r="R36" s="27"/>
      <c r="S36" s="27"/>
      <c r="T36" s="27"/>
      <c r="U36" s="27"/>
      <c r="V36" s="27" t="s">
        <v>7</v>
      </c>
      <c r="W36" s="27" t="s">
        <v>163</v>
      </c>
    </row>
    <row r="37">
      <c r="A37" s="125" t="s">
        <v>241</v>
      </c>
      <c r="B37" s="27" t="s">
        <v>159</v>
      </c>
      <c r="C37" s="125" t="s">
        <v>93</v>
      </c>
      <c r="D37" s="27" t="s">
        <v>242</v>
      </c>
      <c r="E37" s="27" t="b">
        <v>1</v>
      </c>
      <c r="F37" s="27">
        <v>15</v>
      </c>
      <c r="G37" s="27">
        <v>300</v>
      </c>
      <c r="H37" s="27">
        <v>1800</v>
      </c>
      <c r="I37" s="27"/>
      <c r="J37" s="27"/>
      <c r="K37" s="27">
        <v>12</v>
      </c>
      <c r="L37" s="27">
        <v>120</v>
      </c>
      <c r="M37" s="27" t="s">
        <v>175</v>
      </c>
      <c r="N37" s="27">
        <v>37</v>
      </c>
      <c r="O37" s="27">
        <v>45</v>
      </c>
      <c r="P37" s="27"/>
      <c r="Q37" s="27"/>
      <c r="R37" s="27"/>
      <c r="S37" s="27"/>
      <c r="T37" s="27"/>
      <c r="U37" s="27"/>
      <c r="V37" s="27" t="s">
        <v>7</v>
      </c>
      <c r="W37" s="27" t="s">
        <v>163</v>
      </c>
    </row>
    <row r="38">
      <c r="A38" s="125" t="s">
        <v>243</v>
      </c>
      <c r="B38" s="27" t="s">
        <v>159</v>
      </c>
      <c r="C38" s="125" t="s">
        <v>93</v>
      </c>
      <c r="D38" s="27" t="s">
        <v>244</v>
      </c>
      <c r="E38" s="27" t="b">
        <v>1</v>
      </c>
      <c r="F38" s="27">
        <v>15</v>
      </c>
      <c r="G38" s="27">
        <v>400</v>
      </c>
      <c r="H38" s="27">
        <v>2000</v>
      </c>
      <c r="I38" s="27"/>
      <c r="J38" s="27"/>
      <c r="K38" s="27">
        <v>12</v>
      </c>
      <c r="L38" s="27">
        <v>120</v>
      </c>
      <c r="M38" s="27" t="s">
        <v>175</v>
      </c>
      <c r="N38" s="27">
        <v>55</v>
      </c>
      <c r="O38" s="27">
        <v>55</v>
      </c>
      <c r="P38" s="27"/>
      <c r="Q38" s="27"/>
      <c r="R38" s="27"/>
      <c r="S38" s="27"/>
      <c r="T38" s="27"/>
      <c r="U38" s="27"/>
      <c r="V38" s="27" t="s">
        <v>7</v>
      </c>
      <c r="W38" s="27" t="s">
        <v>163</v>
      </c>
    </row>
    <row r="39">
      <c r="A39" s="125" t="s">
        <v>245</v>
      </c>
      <c r="B39" s="27" t="s">
        <v>159</v>
      </c>
      <c r="C39" s="125" t="s">
        <v>93</v>
      </c>
      <c r="D39" s="27" t="s">
        <v>246</v>
      </c>
      <c r="E39" s="27" t="b">
        <v>1</v>
      </c>
      <c r="F39" s="27">
        <v>15</v>
      </c>
      <c r="G39" s="27">
        <v>1000</v>
      </c>
      <c r="H39" s="27">
        <v>3000</v>
      </c>
      <c r="I39" s="27"/>
      <c r="J39" s="27"/>
      <c r="K39" s="27">
        <v>12</v>
      </c>
      <c r="L39" s="27">
        <v>120</v>
      </c>
      <c r="M39" s="27" t="s">
        <v>175</v>
      </c>
      <c r="N39" s="27">
        <v>75</v>
      </c>
      <c r="O39" s="27">
        <v>75</v>
      </c>
      <c r="P39" s="27"/>
      <c r="Q39" s="27"/>
      <c r="R39" s="27"/>
      <c r="S39" s="27"/>
      <c r="T39" s="27"/>
      <c r="U39" s="27"/>
      <c r="V39" s="27" t="s">
        <v>7</v>
      </c>
      <c r="W39" s="27" t="s">
        <v>163</v>
      </c>
    </row>
    <row r="40">
      <c r="A40" s="125" t="s">
        <v>247</v>
      </c>
      <c r="B40" s="27" t="s">
        <v>159</v>
      </c>
      <c r="C40" s="125" t="s">
        <v>102</v>
      </c>
      <c r="D40" s="27" t="s">
        <v>248</v>
      </c>
      <c r="E40" s="27" t="b">
        <v>1</v>
      </c>
      <c r="F40" s="27">
        <v>17</v>
      </c>
      <c r="G40" s="27">
        <v>100</v>
      </c>
      <c r="H40" s="27">
        <v>200</v>
      </c>
      <c r="I40" s="27"/>
      <c r="J40" s="27"/>
      <c r="K40" s="27">
        <v>20</v>
      </c>
      <c r="L40" s="27">
        <v>150</v>
      </c>
      <c r="M40" s="27" t="s">
        <v>175</v>
      </c>
      <c r="N40" s="27">
        <v>22</v>
      </c>
      <c r="O40" s="27">
        <v>22</v>
      </c>
      <c r="P40" s="27">
        <v>3500</v>
      </c>
      <c r="Q40" s="27">
        <v>4500</v>
      </c>
      <c r="R40" s="27"/>
      <c r="S40" s="27"/>
      <c r="T40" s="27"/>
      <c r="U40" s="27"/>
      <c r="V40" s="27" t="s">
        <v>7</v>
      </c>
      <c r="W40" s="27" t="s">
        <v>163</v>
      </c>
    </row>
    <row r="41">
      <c r="A41" s="125" t="s">
        <v>249</v>
      </c>
      <c r="B41" s="27" t="s">
        <v>159</v>
      </c>
      <c r="C41" s="125" t="s">
        <v>102</v>
      </c>
      <c r="D41" s="27" t="s">
        <v>250</v>
      </c>
      <c r="E41" s="27" t="b">
        <v>1</v>
      </c>
      <c r="F41" s="27">
        <v>17</v>
      </c>
      <c r="G41" s="27">
        <v>300</v>
      </c>
      <c r="H41" s="27">
        <v>500</v>
      </c>
      <c r="I41" s="27"/>
      <c r="J41" s="27"/>
      <c r="K41" s="27">
        <v>20</v>
      </c>
      <c r="L41" s="27">
        <v>150</v>
      </c>
      <c r="M41" s="27" t="s">
        <v>175</v>
      </c>
      <c r="N41" s="27">
        <v>37</v>
      </c>
      <c r="O41" s="27">
        <v>37</v>
      </c>
      <c r="P41" s="27">
        <v>3300</v>
      </c>
      <c r="Q41" s="27">
        <v>4200</v>
      </c>
      <c r="R41" s="27"/>
      <c r="S41" s="27"/>
      <c r="T41" s="27"/>
      <c r="U41" s="27"/>
      <c r="V41" s="27" t="s">
        <v>7</v>
      </c>
      <c r="W41" s="27" t="s">
        <v>163</v>
      </c>
    </row>
    <row r="42">
      <c r="A42" s="125" t="s">
        <v>251</v>
      </c>
      <c r="B42" s="27" t="s">
        <v>159</v>
      </c>
      <c r="C42" s="125" t="s">
        <v>102</v>
      </c>
      <c r="D42" s="27" t="s">
        <v>252</v>
      </c>
      <c r="E42" s="27" t="b">
        <v>1</v>
      </c>
      <c r="F42" s="27">
        <v>17</v>
      </c>
      <c r="G42" s="27">
        <v>600</v>
      </c>
      <c r="H42" s="27">
        <v>800</v>
      </c>
      <c r="I42" s="27"/>
      <c r="J42" s="27"/>
      <c r="K42" s="27">
        <v>20</v>
      </c>
      <c r="L42" s="27">
        <v>150</v>
      </c>
      <c r="M42" s="27" t="s">
        <v>175</v>
      </c>
      <c r="N42" s="27">
        <v>45</v>
      </c>
      <c r="O42" s="27">
        <v>45</v>
      </c>
      <c r="P42" s="27">
        <v>2900</v>
      </c>
      <c r="Q42" s="27">
        <v>3600</v>
      </c>
      <c r="R42" s="27"/>
      <c r="S42" s="27"/>
      <c r="T42" s="27"/>
      <c r="U42" s="27"/>
      <c r="V42" s="27" t="s">
        <v>7</v>
      </c>
      <c r="W42" s="27" t="s">
        <v>163</v>
      </c>
    </row>
    <row r="43">
      <c r="A43" s="125" t="s">
        <v>253</v>
      </c>
      <c r="B43" s="27" t="s">
        <v>159</v>
      </c>
      <c r="C43" s="125" t="s">
        <v>102</v>
      </c>
      <c r="D43" s="27" t="s">
        <v>254</v>
      </c>
      <c r="E43" s="27" t="b">
        <v>1</v>
      </c>
      <c r="F43" s="27">
        <v>17</v>
      </c>
      <c r="G43" s="27">
        <v>800</v>
      </c>
      <c r="H43" s="27">
        <v>1300</v>
      </c>
      <c r="I43" s="27"/>
      <c r="J43" s="27"/>
      <c r="K43" s="27">
        <v>20</v>
      </c>
      <c r="L43" s="27">
        <v>150</v>
      </c>
      <c r="M43" s="27" t="s">
        <v>175</v>
      </c>
      <c r="N43" s="27">
        <v>55</v>
      </c>
      <c r="O43" s="27">
        <v>75</v>
      </c>
      <c r="P43" s="27">
        <v>2100</v>
      </c>
      <c r="Q43" s="27">
        <v>2700</v>
      </c>
      <c r="R43" s="27"/>
      <c r="S43" s="27"/>
      <c r="T43" s="27"/>
      <c r="U43" s="27"/>
      <c r="V43" s="27" t="s">
        <v>7</v>
      </c>
      <c r="W43" s="27" t="s">
        <v>163</v>
      </c>
    </row>
    <row r="44">
      <c r="A44" s="125" t="s">
        <v>255</v>
      </c>
      <c r="B44" s="27" t="s">
        <v>159</v>
      </c>
      <c r="C44" s="125" t="s">
        <v>111</v>
      </c>
      <c r="D44" s="27" t="s">
        <v>256</v>
      </c>
      <c r="E44" s="27" t="b">
        <v>1</v>
      </c>
      <c r="F44" s="27">
        <v>18</v>
      </c>
      <c r="G44" s="27">
        <v>50</v>
      </c>
      <c r="H44" s="27">
        <v>200</v>
      </c>
      <c r="I44" s="27"/>
      <c r="J44" s="27"/>
      <c r="K44" s="27">
        <v>10</v>
      </c>
      <c r="L44" s="27">
        <v>40</v>
      </c>
      <c r="M44" s="27" t="s">
        <v>175</v>
      </c>
      <c r="N44" s="27">
        <v>2.2</v>
      </c>
      <c r="O44" s="27">
        <v>2.2</v>
      </c>
      <c r="P44" s="27"/>
      <c r="Q44" s="27"/>
      <c r="R44" s="27">
        <v>780</v>
      </c>
      <c r="S44" s="27">
        <v>670</v>
      </c>
      <c r="T44" s="27">
        <v>1600</v>
      </c>
      <c r="U44" s="27">
        <v>350</v>
      </c>
      <c r="V44" s="27" t="s">
        <v>7</v>
      </c>
      <c r="W44" s="27" t="s">
        <v>163</v>
      </c>
    </row>
    <row r="45">
      <c r="A45" s="125" t="s">
        <v>257</v>
      </c>
      <c r="B45" s="27" t="s">
        <v>159</v>
      </c>
      <c r="C45" s="125" t="s">
        <v>111</v>
      </c>
      <c r="D45" s="27" t="s">
        <v>258</v>
      </c>
      <c r="E45" s="27" t="b">
        <v>1</v>
      </c>
      <c r="F45" s="27">
        <v>18</v>
      </c>
      <c r="G45" s="27">
        <v>50</v>
      </c>
      <c r="H45" s="27">
        <v>200</v>
      </c>
      <c r="I45" s="27"/>
      <c r="J45" s="27"/>
      <c r="K45" s="27">
        <v>10</v>
      </c>
      <c r="L45" s="27">
        <v>40</v>
      </c>
      <c r="M45" s="27" t="s">
        <v>175</v>
      </c>
      <c r="N45" s="27">
        <v>3</v>
      </c>
      <c r="O45" s="27">
        <v>3</v>
      </c>
      <c r="P45" s="27"/>
      <c r="Q45" s="27"/>
      <c r="R45" s="27">
        <v>780</v>
      </c>
      <c r="S45" s="27">
        <v>670</v>
      </c>
      <c r="T45" s="27">
        <v>1850</v>
      </c>
      <c r="U45" s="27">
        <v>520</v>
      </c>
      <c r="V45" s="27" t="s">
        <v>7</v>
      </c>
      <c r="W45" s="27" t="s">
        <v>163</v>
      </c>
    </row>
    <row r="46">
      <c r="A46" s="125" t="s">
        <v>259</v>
      </c>
      <c r="B46" s="27" t="s">
        <v>159</v>
      </c>
      <c r="C46" s="125" t="s">
        <v>111</v>
      </c>
      <c r="D46" s="27" t="s">
        <v>260</v>
      </c>
      <c r="E46" s="27" t="b">
        <v>1</v>
      </c>
      <c r="F46" s="27">
        <v>18</v>
      </c>
      <c r="G46" s="27">
        <v>100</v>
      </c>
      <c r="H46" s="27">
        <v>400</v>
      </c>
      <c r="I46" s="27"/>
      <c r="J46" s="27"/>
      <c r="K46" s="27">
        <v>10</v>
      </c>
      <c r="L46" s="27">
        <v>40</v>
      </c>
      <c r="M46" s="27" t="s">
        <v>175</v>
      </c>
      <c r="N46" s="27">
        <v>5.5</v>
      </c>
      <c r="O46" s="27">
        <v>5.5</v>
      </c>
      <c r="P46" s="27"/>
      <c r="Q46" s="27"/>
      <c r="R46" s="27">
        <v>920</v>
      </c>
      <c r="S46" s="27">
        <v>720</v>
      </c>
      <c r="T46" s="27">
        <v>1750</v>
      </c>
      <c r="U46" s="27">
        <v>580</v>
      </c>
      <c r="V46" s="27" t="s">
        <v>7</v>
      </c>
      <c r="W46" s="27" t="s">
        <v>163</v>
      </c>
    </row>
    <row r="47">
      <c r="A47" s="125" t="s">
        <v>261</v>
      </c>
      <c r="B47" s="27" t="s">
        <v>159</v>
      </c>
      <c r="C47" s="125" t="s">
        <v>111</v>
      </c>
      <c r="D47" s="27" t="s">
        <v>262</v>
      </c>
      <c r="E47" s="27" t="b">
        <v>1</v>
      </c>
      <c r="F47" s="27">
        <v>18</v>
      </c>
      <c r="G47" s="27">
        <v>100</v>
      </c>
      <c r="H47" s="27">
        <v>400</v>
      </c>
      <c r="I47" s="27"/>
      <c r="J47" s="27"/>
      <c r="K47" s="27">
        <v>10</v>
      </c>
      <c r="L47" s="27">
        <v>40</v>
      </c>
      <c r="M47" s="27" t="s">
        <v>175</v>
      </c>
      <c r="N47" s="27">
        <v>7.5</v>
      </c>
      <c r="O47" s="27">
        <v>7.5</v>
      </c>
      <c r="P47" s="27"/>
      <c r="Q47" s="27"/>
      <c r="R47" s="27">
        <v>920</v>
      </c>
      <c r="S47" s="27">
        <v>720</v>
      </c>
      <c r="T47" s="27">
        <v>2000</v>
      </c>
      <c r="U47" s="27">
        <v>750</v>
      </c>
      <c r="V47" s="27" t="s">
        <v>7</v>
      </c>
      <c r="W47" s="27" t="s">
        <v>163</v>
      </c>
    </row>
    <row r="48">
      <c r="A48" s="125" t="s">
        <v>263</v>
      </c>
      <c r="B48" s="27" t="s">
        <v>159</v>
      </c>
      <c r="C48" s="125" t="s">
        <v>111</v>
      </c>
      <c r="D48" s="27" t="s">
        <v>264</v>
      </c>
      <c r="E48" s="27" t="b">
        <v>1</v>
      </c>
      <c r="F48" s="27">
        <v>18</v>
      </c>
      <c r="G48" s="27">
        <v>200</v>
      </c>
      <c r="H48" s="27">
        <v>500</v>
      </c>
      <c r="I48" s="27"/>
      <c r="J48" s="27"/>
      <c r="K48" s="27">
        <v>10</v>
      </c>
      <c r="L48" s="27">
        <v>40</v>
      </c>
      <c r="M48" s="27" t="s">
        <v>175</v>
      </c>
      <c r="N48" s="27">
        <v>11</v>
      </c>
      <c r="O48" s="27">
        <v>11</v>
      </c>
      <c r="P48" s="27"/>
      <c r="Q48" s="27"/>
      <c r="R48" s="27">
        <v>1340</v>
      </c>
      <c r="S48" s="27">
        <v>1210</v>
      </c>
      <c r="T48" s="27">
        <v>2000</v>
      </c>
      <c r="U48" s="27">
        <v>1200</v>
      </c>
      <c r="V48" s="27" t="s">
        <v>7</v>
      </c>
      <c r="W48" s="27" t="s">
        <v>163</v>
      </c>
    </row>
    <row r="49">
      <c r="A49" s="125" t="s">
        <v>265</v>
      </c>
      <c r="B49" s="27" t="s">
        <v>159</v>
      </c>
      <c r="C49" s="125" t="s">
        <v>111</v>
      </c>
      <c r="D49" s="27" t="s">
        <v>266</v>
      </c>
      <c r="E49" s="27" t="b">
        <v>1</v>
      </c>
      <c r="F49" s="27">
        <v>18</v>
      </c>
      <c r="G49" s="27">
        <v>200</v>
      </c>
      <c r="H49" s="27">
        <v>500</v>
      </c>
      <c r="I49" s="27"/>
      <c r="J49" s="27"/>
      <c r="K49" s="27">
        <v>10</v>
      </c>
      <c r="L49" s="27">
        <v>40</v>
      </c>
      <c r="M49" s="27" t="s">
        <v>175</v>
      </c>
      <c r="N49" s="27">
        <v>15</v>
      </c>
      <c r="O49" s="27">
        <v>15</v>
      </c>
      <c r="P49" s="27"/>
      <c r="Q49" s="27"/>
      <c r="R49" s="27">
        <v>1340</v>
      </c>
      <c r="S49" s="27">
        <v>1210</v>
      </c>
      <c r="T49" s="27">
        <v>2250</v>
      </c>
      <c r="U49" s="27">
        <v>1400</v>
      </c>
      <c r="V49" s="27" t="s">
        <v>7</v>
      </c>
      <c r="W49" s="27" t="s">
        <v>163</v>
      </c>
    </row>
    <row r="50">
      <c r="A50" s="125" t="s">
        <v>267</v>
      </c>
      <c r="B50" s="27" t="s">
        <v>159</v>
      </c>
      <c r="C50" s="125" t="s">
        <v>119</v>
      </c>
      <c r="D50" s="27" t="s">
        <v>268</v>
      </c>
      <c r="E50" s="27" t="b">
        <v>1</v>
      </c>
      <c r="F50" s="27">
        <v>19</v>
      </c>
      <c r="G50" s="27">
        <v>0.5</v>
      </c>
      <c r="H50" s="27">
        <v>10</v>
      </c>
      <c r="I50" s="27"/>
      <c r="J50" s="27"/>
      <c r="K50" s="27">
        <v>0.5</v>
      </c>
      <c r="L50" s="27">
        <v>30</v>
      </c>
      <c r="M50" s="27" t="s">
        <v>269</v>
      </c>
      <c r="N50" s="27"/>
      <c r="O50" s="27"/>
      <c r="P50" s="27"/>
      <c r="Q50" s="27"/>
      <c r="R50" s="27"/>
      <c r="S50" s="27"/>
      <c r="T50" s="27"/>
      <c r="U50" s="27"/>
      <c r="V50" s="27" t="s">
        <v>7</v>
      </c>
      <c r="W50" s="27" t="s">
        <v>163</v>
      </c>
    </row>
    <row r="51">
      <c r="A51" s="125" t="s">
        <v>270</v>
      </c>
      <c r="B51" s="27" t="s">
        <v>159</v>
      </c>
      <c r="C51" s="125" t="s">
        <v>119</v>
      </c>
      <c r="D51" s="27" t="s">
        <v>271</v>
      </c>
      <c r="E51" s="27" t="b">
        <v>1</v>
      </c>
      <c r="F51" s="27">
        <v>19</v>
      </c>
      <c r="G51" s="27">
        <v>10</v>
      </c>
      <c r="H51" s="27">
        <v>100</v>
      </c>
      <c r="I51" s="27"/>
      <c r="J51" s="27"/>
      <c r="K51" s="27">
        <v>0.5</v>
      </c>
      <c r="L51" s="27">
        <v>30</v>
      </c>
      <c r="M51" s="27" t="s">
        <v>269</v>
      </c>
      <c r="N51" s="27"/>
      <c r="O51" s="27"/>
      <c r="P51" s="27"/>
      <c r="Q51" s="27"/>
      <c r="R51" s="27"/>
      <c r="S51" s="27"/>
      <c r="T51" s="27"/>
      <c r="U51" s="27"/>
      <c r="V51" s="27" t="s">
        <v>7</v>
      </c>
      <c r="W51" s="27" t="s">
        <v>163</v>
      </c>
    </row>
    <row r="52">
      <c r="A52" s="125" t="s">
        <v>272</v>
      </c>
      <c r="B52" s="27" t="s">
        <v>159</v>
      </c>
      <c r="C52" s="125" t="s">
        <v>119</v>
      </c>
      <c r="D52" s="27" t="s">
        <v>273</v>
      </c>
      <c r="E52" s="27" t="b">
        <v>1</v>
      </c>
      <c r="F52" s="27">
        <v>19</v>
      </c>
      <c r="G52" s="27">
        <v>80</v>
      </c>
      <c r="H52" s="27">
        <v>200</v>
      </c>
      <c r="I52" s="27"/>
      <c r="J52" s="27"/>
      <c r="K52" s="27">
        <v>0.5</v>
      </c>
      <c r="L52" s="27">
        <v>30</v>
      </c>
      <c r="M52" s="27" t="s">
        <v>269</v>
      </c>
      <c r="N52" s="27"/>
      <c r="O52" s="27"/>
      <c r="P52" s="27"/>
      <c r="Q52" s="27"/>
      <c r="R52" s="27"/>
      <c r="S52" s="27"/>
      <c r="T52" s="27"/>
      <c r="U52" s="27"/>
      <c r="V52" s="27" t="s">
        <v>7</v>
      </c>
      <c r="W52" s="27" t="s">
        <v>163</v>
      </c>
    </row>
    <row r="53">
      <c r="A53" s="125" t="s">
        <v>274</v>
      </c>
      <c r="B53" s="27" t="s">
        <v>159</v>
      </c>
      <c r="C53" s="125" t="s">
        <v>119</v>
      </c>
      <c r="D53" s="27" t="s">
        <v>275</v>
      </c>
      <c r="E53" s="27" t="b">
        <v>1</v>
      </c>
      <c r="F53" s="27">
        <v>19</v>
      </c>
      <c r="G53" s="27">
        <v>100</v>
      </c>
      <c r="H53" s="27">
        <v>500</v>
      </c>
      <c r="I53" s="27"/>
      <c r="J53" s="27"/>
      <c r="K53" s="27">
        <v>0.5</v>
      </c>
      <c r="L53" s="27">
        <v>30</v>
      </c>
      <c r="M53" s="27" t="s">
        <v>269</v>
      </c>
      <c r="N53" s="27"/>
      <c r="O53" s="27"/>
      <c r="P53" s="27"/>
      <c r="Q53" s="27"/>
      <c r="R53" s="27"/>
      <c r="S53" s="27"/>
      <c r="T53" s="27"/>
      <c r="U53" s="27"/>
      <c r="V53" s="27" t="s">
        <v>7</v>
      </c>
      <c r="W53" s="27" t="s">
        <v>163</v>
      </c>
    </row>
    <row r="54">
      <c r="A54" s="125" t="s">
        <v>276</v>
      </c>
      <c r="B54" s="27" t="s">
        <v>159</v>
      </c>
      <c r="C54" s="125" t="s">
        <v>119</v>
      </c>
      <c r="D54" s="27" t="s">
        <v>277</v>
      </c>
      <c r="E54" s="27" t="b">
        <v>1</v>
      </c>
      <c r="F54" s="27">
        <v>19</v>
      </c>
      <c r="G54" s="27">
        <v>200</v>
      </c>
      <c r="H54" s="27">
        <v>700</v>
      </c>
      <c r="I54" s="27"/>
      <c r="J54" s="27"/>
      <c r="K54" s="27">
        <v>0.5</v>
      </c>
      <c r="L54" s="27">
        <v>30</v>
      </c>
      <c r="M54" s="27" t="s">
        <v>269</v>
      </c>
      <c r="N54" s="27"/>
      <c r="O54" s="27"/>
      <c r="P54" s="27"/>
      <c r="Q54" s="27"/>
      <c r="R54" s="27"/>
      <c r="S54" s="27"/>
      <c r="T54" s="27"/>
      <c r="U54" s="27"/>
      <c r="V54" s="27" t="s">
        <v>7</v>
      </c>
      <c r="W54" s="27" t="s">
        <v>163</v>
      </c>
    </row>
    <row r="55">
      <c r="A55" s="125" t="s">
        <v>278</v>
      </c>
      <c r="B55" s="27" t="s">
        <v>159</v>
      </c>
      <c r="C55" s="125" t="s">
        <v>119</v>
      </c>
      <c r="D55" s="27" t="s">
        <v>279</v>
      </c>
      <c r="E55" s="27" t="b">
        <v>1</v>
      </c>
      <c r="F55" s="27">
        <v>19</v>
      </c>
      <c r="G55" s="27">
        <v>400</v>
      </c>
      <c r="H55" s="27">
        <v>1500</v>
      </c>
      <c r="I55" s="27"/>
      <c r="J55" s="27"/>
      <c r="K55" s="27">
        <v>0.5</v>
      </c>
      <c r="L55" s="27">
        <v>30</v>
      </c>
      <c r="M55" s="27" t="s">
        <v>269</v>
      </c>
      <c r="N55" s="27"/>
      <c r="O55" s="27"/>
      <c r="P55" s="27"/>
      <c r="Q55" s="27"/>
      <c r="R55" s="27"/>
      <c r="S55" s="27"/>
      <c r="T55" s="27"/>
      <c r="U55" s="27"/>
      <c r="V55" s="27" t="s">
        <v>7</v>
      </c>
      <c r="W55" s="27" t="s">
        <v>163</v>
      </c>
    </row>
    <row r="56">
      <c r="A56" s="125" t="s">
        <v>280</v>
      </c>
      <c r="B56" s="27" t="s">
        <v>159</v>
      </c>
      <c r="C56" s="125" t="s">
        <v>128</v>
      </c>
      <c r="D56" s="27" t="s">
        <v>236</v>
      </c>
      <c r="E56" s="27" t="b">
        <v>1</v>
      </c>
      <c r="F56" s="27">
        <v>20</v>
      </c>
      <c r="G56" s="27">
        <v>30</v>
      </c>
      <c r="H56" s="27">
        <v>150</v>
      </c>
      <c r="I56" s="27">
        <v>15</v>
      </c>
      <c r="J56" s="27" t="s">
        <v>281</v>
      </c>
      <c r="K56" s="27">
        <v>10</v>
      </c>
      <c r="L56" s="27">
        <v>700</v>
      </c>
      <c r="M56" s="27" t="s">
        <v>175</v>
      </c>
      <c r="N56" s="27">
        <v>7.5</v>
      </c>
      <c r="O56" s="27">
        <v>7.5</v>
      </c>
      <c r="P56" s="27"/>
      <c r="Q56" s="27"/>
      <c r="R56" s="27"/>
      <c r="S56" s="27"/>
      <c r="T56" s="27"/>
      <c r="U56" s="27"/>
      <c r="V56" s="27" t="s">
        <v>7</v>
      </c>
      <c r="W56" s="27" t="s">
        <v>163</v>
      </c>
    </row>
    <row r="57">
      <c r="A57" s="125" t="s">
        <v>282</v>
      </c>
      <c r="B57" s="27" t="s">
        <v>159</v>
      </c>
      <c r="C57" s="125" t="s">
        <v>128</v>
      </c>
      <c r="D57" s="27" t="s">
        <v>240</v>
      </c>
      <c r="E57" s="27" t="b">
        <v>1</v>
      </c>
      <c r="F57" s="27">
        <v>20</v>
      </c>
      <c r="G57" s="27">
        <v>80</v>
      </c>
      <c r="H57" s="27">
        <v>150</v>
      </c>
      <c r="I57" s="27">
        <v>15</v>
      </c>
      <c r="J57" s="27" t="s">
        <v>281</v>
      </c>
      <c r="K57" s="27">
        <v>10</v>
      </c>
      <c r="L57" s="27">
        <v>700</v>
      </c>
      <c r="M57" s="27" t="s">
        <v>175</v>
      </c>
      <c r="N57" s="27">
        <v>30</v>
      </c>
      <c r="O57" s="27">
        <v>30</v>
      </c>
      <c r="P57" s="27"/>
      <c r="Q57" s="27"/>
      <c r="R57" s="27"/>
      <c r="S57" s="27"/>
      <c r="T57" s="27"/>
      <c r="U57" s="27"/>
      <c r="V57" s="27" t="s">
        <v>7</v>
      </c>
      <c r="W57" s="27" t="s">
        <v>163</v>
      </c>
    </row>
    <row r="58">
      <c r="A58" s="125" t="s">
        <v>283</v>
      </c>
      <c r="B58" s="27" t="s">
        <v>159</v>
      </c>
      <c r="C58" s="125" t="s">
        <v>128</v>
      </c>
      <c r="D58" s="27" t="s">
        <v>284</v>
      </c>
      <c r="E58" s="27" t="b">
        <v>1</v>
      </c>
      <c r="F58" s="27">
        <v>20</v>
      </c>
      <c r="G58" s="27">
        <v>100</v>
      </c>
      <c r="H58" s="27">
        <v>150</v>
      </c>
      <c r="I58" s="27">
        <v>15</v>
      </c>
      <c r="J58" s="27" t="s">
        <v>281</v>
      </c>
      <c r="K58" s="27">
        <v>10</v>
      </c>
      <c r="L58" s="27">
        <v>700</v>
      </c>
      <c r="M58" s="27" t="s">
        <v>175</v>
      </c>
      <c r="N58" s="27">
        <v>45</v>
      </c>
      <c r="O58" s="27">
        <v>45</v>
      </c>
      <c r="P58" s="27"/>
      <c r="Q58" s="27"/>
      <c r="R58" s="27"/>
      <c r="S58" s="27"/>
      <c r="T58" s="27"/>
      <c r="U58" s="27"/>
      <c r="V58" s="27" t="s">
        <v>7</v>
      </c>
      <c r="W58" s="27" t="s">
        <v>163</v>
      </c>
    </row>
  </sheetData>
  <conditionalFormatting sqref="B2:B158">
    <cfRule type="expression" dxfId="0" priority="1">
      <formula>B2="CHECK ID"</formula>
    </cfRule>
    <cfRule type="expression" dxfId="1" priority="2">
      <formula>B2="OK"</formula>
    </cfRule>
  </conditionalFormatting>
  <dataValidations count="3">
    <dataValidation type="list" sqref="C2:C158">
      <formula1>"BSC_COARSE,BS_SMALL_HAMMER,BSU_UNIVERSAL,BSG_UNIVERSAL_SYSTEM,BSP_ULTRAFINE,BSZ_PIN,BSF_BS_HAMMER,BSDF_MULTISTAGE,BS_ROLLER,BSK_JET,BS_CRYOGENIC"</formula1>
    </dataValidation>
    <dataValidation type="list" sqref="E2:E158">
      <formula1>"true,false"</formula1>
    </dataValidation>
    <dataValidation type="list" sqref="M2:M158">
      <formula1>"mm,mesh,µm"</formula1>
    </dataValidation>
  </dataValidations>
  <pageMargins left="0.7" right="0.7" top="0.75" bottom="0.75" header="0.3" footer="0.3"/>
  <tableParts count="1">
    <tablePart xmlns:r="http://schemas.openxmlformats.org/officeDocument/2006/relationships" r:id="R1dfa23334b9e45ab"/>
  </tableParts>
</worksheet>
</file>

<file path=xl/worksheets/sheet4.xml><?xml version="1.0" encoding="utf-8"?>
<worksheet xmlns="http://schemas.openxmlformats.org/spreadsheetml/2006/main">
  <cols>
    <col min="1" max="1" width="30.00" bestFit="1" customWidth="1"/>
    <col min="2" max="2" width="24.00" bestFit="1" customWidth="1"/>
    <col min="3" max="3" width="16.00" bestFit="1" customWidth="1"/>
    <col min="4" max="4" width="38.00" bestFit="1" customWidth="1"/>
    <col min="5" max="5" width="18.00" bestFit="1" customWidth="1"/>
    <col min="6" max="6" width="32.00" bestFit="1" customWidth="1"/>
    <col min="7" max="7" width="12.00" bestFit="1" customWidth="1"/>
    <col min="8" max="8" width="14.00" bestFit="1" customWidth="1"/>
    <col min="9" max="9" width="45.00" bestFit="1" customWidth="1"/>
  </cols>
  <sheetData>
    <row r="1">
      <c r="A1" s="18" t="s">
        <v>136</v>
      </c>
      <c r="B1" s="18" t="s">
        <v>31</v>
      </c>
      <c r="C1" s="18" t="s">
        <v>138</v>
      </c>
      <c r="D1" s="18" t="s">
        <v>285</v>
      </c>
      <c r="E1" s="18" t="s">
        <v>286</v>
      </c>
      <c r="F1" s="18" t="s">
        <v>287</v>
      </c>
      <c r="G1" s="18" t="s">
        <v>288</v>
      </c>
      <c r="H1" s="18" t="s">
        <v>289</v>
      </c>
      <c r="I1" s="18" t="s">
        <v>290</v>
      </c>
    </row>
    <row r="2">
      <c r="A2" s="125" t="s">
        <v>172</v>
      </c>
      <c r="B2" s="27" t="s">
        <v>291</v>
      </c>
      <c r="C2" s="27" t="s">
        <v>173</v>
      </c>
      <c r="D2" s="27" t="s">
        <v>292</v>
      </c>
      <c r="E2" s="27">
        <v>200</v>
      </c>
      <c r="F2" s="27"/>
      <c r="G2" s="27" t="s">
        <v>162</v>
      </c>
      <c r="H2" s="27">
        <v>6</v>
      </c>
      <c r="I2" s="27"/>
    </row>
    <row r="3">
      <c r="A3" s="125" t="s">
        <v>176</v>
      </c>
      <c r="B3" s="27" t="s">
        <v>291</v>
      </c>
      <c r="C3" s="27" t="s">
        <v>177</v>
      </c>
      <c r="D3" s="27" t="s">
        <v>292</v>
      </c>
      <c r="E3" s="27">
        <v>270</v>
      </c>
      <c r="F3" s="27"/>
      <c r="G3" s="27" t="s">
        <v>162</v>
      </c>
      <c r="H3" s="27">
        <v>6</v>
      </c>
      <c r="I3" s="27"/>
    </row>
    <row r="4">
      <c r="A4" s="125" t="s">
        <v>178</v>
      </c>
      <c r="B4" s="27" t="s">
        <v>291</v>
      </c>
      <c r="C4" s="27" t="s">
        <v>179</v>
      </c>
      <c r="D4" s="27" t="s">
        <v>292</v>
      </c>
      <c r="E4" s="27">
        <v>380</v>
      </c>
      <c r="F4" s="27"/>
      <c r="G4" s="27" t="s">
        <v>162</v>
      </c>
      <c r="H4" s="27">
        <v>6</v>
      </c>
      <c r="I4" s="27"/>
    </row>
    <row r="5">
      <c r="A5" s="125" t="s">
        <v>190</v>
      </c>
      <c r="B5" s="27" t="s">
        <v>293</v>
      </c>
      <c r="C5" s="27" t="s">
        <v>191</v>
      </c>
      <c r="D5" s="27" t="s">
        <v>294</v>
      </c>
      <c r="E5" s="27">
        <v>3</v>
      </c>
      <c r="F5" s="27"/>
      <c r="G5" s="27" t="s">
        <v>295</v>
      </c>
      <c r="H5" s="27">
        <v>8</v>
      </c>
      <c r="I5" s="27"/>
    </row>
    <row r="6">
      <c r="A6" s="125" t="s">
        <v>190</v>
      </c>
      <c r="B6" s="27" t="s">
        <v>293</v>
      </c>
      <c r="C6" s="27" t="s">
        <v>191</v>
      </c>
      <c r="D6" s="27" t="s">
        <v>296</v>
      </c>
      <c r="E6" s="27">
        <v>0.55</v>
      </c>
      <c r="F6" s="27"/>
      <c r="G6" s="27" t="s">
        <v>295</v>
      </c>
      <c r="H6" s="27">
        <v>8</v>
      </c>
      <c r="I6" s="27"/>
    </row>
    <row r="7">
      <c r="A7" s="125" t="s">
        <v>190</v>
      </c>
      <c r="B7" s="27" t="s">
        <v>293</v>
      </c>
      <c r="C7" s="27" t="s">
        <v>191</v>
      </c>
      <c r="D7" s="27" t="s">
        <v>297</v>
      </c>
      <c r="E7" s="27">
        <v>0.75</v>
      </c>
      <c r="F7" s="27"/>
      <c r="G7" s="27" t="s">
        <v>295</v>
      </c>
      <c r="H7" s="27">
        <v>8</v>
      </c>
      <c r="I7" s="27"/>
    </row>
    <row r="8">
      <c r="A8" s="125" t="s">
        <v>192</v>
      </c>
      <c r="B8" s="27" t="s">
        <v>293</v>
      </c>
      <c r="C8" s="27" t="s">
        <v>193</v>
      </c>
      <c r="D8" s="27" t="s">
        <v>294</v>
      </c>
      <c r="E8" s="27">
        <v>3</v>
      </c>
      <c r="F8" s="27"/>
      <c r="G8" s="27" t="s">
        <v>295</v>
      </c>
      <c r="H8" s="27">
        <v>8</v>
      </c>
      <c r="I8" s="27"/>
    </row>
    <row r="9">
      <c r="A9" s="125" t="s">
        <v>192</v>
      </c>
      <c r="B9" s="27" t="s">
        <v>293</v>
      </c>
      <c r="C9" s="27" t="s">
        <v>193</v>
      </c>
      <c r="D9" s="27" t="s">
        <v>296</v>
      </c>
      <c r="E9" s="27">
        <v>0.75</v>
      </c>
      <c r="F9" s="27"/>
      <c r="G9" s="27" t="s">
        <v>295</v>
      </c>
      <c r="H9" s="27">
        <v>8</v>
      </c>
      <c r="I9" s="27"/>
    </row>
    <row r="10">
      <c r="A10" s="125" t="s">
        <v>192</v>
      </c>
      <c r="B10" s="27" t="s">
        <v>293</v>
      </c>
      <c r="C10" s="27" t="s">
        <v>193</v>
      </c>
      <c r="D10" s="27" t="s">
        <v>297</v>
      </c>
      <c r="E10" s="27">
        <v>0.75</v>
      </c>
      <c r="F10" s="27"/>
      <c r="G10" s="27" t="s">
        <v>295</v>
      </c>
      <c r="H10" s="27">
        <v>8</v>
      </c>
      <c r="I10" s="27"/>
    </row>
    <row r="11">
      <c r="A11" s="125" t="s">
        <v>194</v>
      </c>
      <c r="B11" s="27" t="s">
        <v>293</v>
      </c>
      <c r="C11" s="27" t="s">
        <v>195</v>
      </c>
      <c r="D11" s="27" t="s">
        <v>294</v>
      </c>
      <c r="E11" s="27">
        <v>5.5</v>
      </c>
      <c r="F11" s="27"/>
      <c r="G11" s="27" t="s">
        <v>295</v>
      </c>
      <c r="H11" s="27">
        <v>8</v>
      </c>
      <c r="I11" s="27"/>
    </row>
    <row r="12">
      <c r="A12" s="125" t="s">
        <v>194</v>
      </c>
      <c r="B12" s="27" t="s">
        <v>293</v>
      </c>
      <c r="C12" s="27" t="s">
        <v>195</v>
      </c>
      <c r="D12" s="27" t="s">
        <v>296</v>
      </c>
      <c r="E12" s="27">
        <v>0.75</v>
      </c>
      <c r="F12" s="27"/>
      <c r="G12" s="27" t="s">
        <v>295</v>
      </c>
      <c r="H12" s="27">
        <v>8</v>
      </c>
      <c r="I12" s="27"/>
    </row>
    <row r="13">
      <c r="A13" s="125" t="s">
        <v>194</v>
      </c>
      <c r="B13" s="27" t="s">
        <v>293</v>
      </c>
      <c r="C13" s="27" t="s">
        <v>195</v>
      </c>
      <c r="D13" s="27" t="s">
        <v>297</v>
      </c>
      <c r="E13" s="27">
        <v>0.75</v>
      </c>
      <c r="F13" s="27"/>
      <c r="G13" s="27" t="s">
        <v>295</v>
      </c>
      <c r="H13" s="27">
        <v>8</v>
      </c>
      <c r="I13" s="27"/>
    </row>
    <row r="14">
      <c r="A14" s="125" t="s">
        <v>196</v>
      </c>
      <c r="B14" s="27" t="s">
        <v>293</v>
      </c>
      <c r="C14" s="27" t="s">
        <v>197</v>
      </c>
      <c r="D14" s="27" t="s">
        <v>294</v>
      </c>
      <c r="E14" s="27">
        <v>11</v>
      </c>
      <c r="F14" s="27"/>
      <c r="G14" s="27" t="s">
        <v>295</v>
      </c>
      <c r="H14" s="27">
        <v>8</v>
      </c>
      <c r="I14" s="27"/>
    </row>
    <row r="15">
      <c r="A15" s="125" t="s">
        <v>196</v>
      </c>
      <c r="B15" s="27" t="s">
        <v>293</v>
      </c>
      <c r="C15" s="27" t="s">
        <v>197</v>
      </c>
      <c r="D15" s="27" t="s">
        <v>296</v>
      </c>
      <c r="E15" s="27">
        <v>0.75</v>
      </c>
      <c r="F15" s="27"/>
      <c r="G15" s="27" t="s">
        <v>295</v>
      </c>
      <c r="H15" s="27">
        <v>8</v>
      </c>
      <c r="I15" s="27"/>
    </row>
    <row r="16">
      <c r="A16" s="125" t="s">
        <v>196</v>
      </c>
      <c r="B16" s="27" t="s">
        <v>293</v>
      </c>
      <c r="C16" s="27" t="s">
        <v>197</v>
      </c>
      <c r="D16" s="27" t="s">
        <v>297</v>
      </c>
      <c r="E16" s="27">
        <v>1.1</v>
      </c>
      <c r="F16" s="27"/>
      <c r="G16" s="27" t="s">
        <v>295</v>
      </c>
      <c r="H16" s="27">
        <v>8</v>
      </c>
      <c r="I16" s="27"/>
    </row>
    <row r="17">
      <c r="A17" s="125" t="s">
        <v>198</v>
      </c>
      <c r="B17" s="27" t="s">
        <v>293</v>
      </c>
      <c r="C17" s="27" t="s">
        <v>199</v>
      </c>
      <c r="D17" s="27" t="s">
        <v>294</v>
      </c>
      <c r="E17" s="27">
        <v>18.5</v>
      </c>
      <c r="F17" s="27"/>
      <c r="G17" s="27" t="s">
        <v>295</v>
      </c>
      <c r="H17" s="27">
        <v>8</v>
      </c>
      <c r="I17" s="27"/>
    </row>
    <row r="18">
      <c r="A18" s="125" t="s">
        <v>198</v>
      </c>
      <c r="B18" s="27" t="s">
        <v>293</v>
      </c>
      <c r="C18" s="27" t="s">
        <v>199</v>
      </c>
      <c r="D18" s="27" t="s">
        <v>296</v>
      </c>
      <c r="E18" s="27">
        <v>1.1</v>
      </c>
      <c r="F18" s="27"/>
      <c r="G18" s="27" t="s">
        <v>295</v>
      </c>
      <c r="H18" s="27">
        <v>8</v>
      </c>
      <c r="I18" s="27"/>
    </row>
    <row r="19">
      <c r="A19" s="125" t="s">
        <v>198</v>
      </c>
      <c r="B19" s="27" t="s">
        <v>293</v>
      </c>
      <c r="C19" s="27" t="s">
        <v>199</v>
      </c>
      <c r="D19" s="27" t="s">
        <v>297</v>
      </c>
      <c r="E19" s="27">
        <v>1.5</v>
      </c>
      <c r="F19" s="27"/>
      <c r="G19" s="27" t="s">
        <v>295</v>
      </c>
      <c r="H19" s="27">
        <v>8</v>
      </c>
      <c r="I19" s="27"/>
    </row>
    <row r="20">
      <c r="A20" s="125" t="s">
        <v>200</v>
      </c>
      <c r="B20" s="27" t="s">
        <v>293</v>
      </c>
      <c r="C20" s="27" t="s">
        <v>201</v>
      </c>
      <c r="D20" s="27" t="s">
        <v>294</v>
      </c>
      <c r="E20" s="27">
        <v>18.5</v>
      </c>
      <c r="F20" s="27"/>
      <c r="G20" s="27" t="s">
        <v>295</v>
      </c>
      <c r="H20" s="27">
        <v>8</v>
      </c>
      <c r="I20" s="27"/>
    </row>
    <row r="21">
      <c r="A21" s="125" t="s">
        <v>200</v>
      </c>
      <c r="B21" s="27" t="s">
        <v>293</v>
      </c>
      <c r="C21" s="27" t="s">
        <v>201</v>
      </c>
      <c r="D21" s="27" t="s">
        <v>296</v>
      </c>
      <c r="E21" s="27">
        <v>1.1</v>
      </c>
      <c r="F21" s="27"/>
      <c r="G21" s="27" t="s">
        <v>295</v>
      </c>
      <c r="H21" s="27">
        <v>8</v>
      </c>
      <c r="I21" s="27"/>
    </row>
    <row r="22">
      <c r="A22" s="125" t="s">
        <v>200</v>
      </c>
      <c r="B22" s="27" t="s">
        <v>293</v>
      </c>
      <c r="C22" s="27" t="s">
        <v>201</v>
      </c>
      <c r="D22" s="27" t="s">
        <v>297</v>
      </c>
      <c r="E22" s="27">
        <v>1.1</v>
      </c>
      <c r="F22" s="27"/>
      <c r="G22" s="27" t="s">
        <v>295</v>
      </c>
      <c r="H22" s="27">
        <v>8</v>
      </c>
      <c r="I22" s="27"/>
    </row>
    <row r="23">
      <c r="A23" s="125" t="s">
        <v>202</v>
      </c>
      <c r="B23" s="27" t="s">
        <v>298</v>
      </c>
      <c r="C23" s="27" t="s">
        <v>203</v>
      </c>
      <c r="D23" s="27" t="s">
        <v>299</v>
      </c>
      <c r="E23" s="27">
        <v>1.5</v>
      </c>
      <c r="F23" s="27"/>
      <c r="G23" s="27" t="s">
        <v>295</v>
      </c>
      <c r="H23" s="27">
        <v>11</v>
      </c>
      <c r="I23" s="27"/>
    </row>
    <row r="24">
      <c r="A24" s="125" t="s">
        <v>202</v>
      </c>
      <c r="B24" s="27" t="s">
        <v>298</v>
      </c>
      <c r="C24" s="27" t="s">
        <v>203</v>
      </c>
      <c r="D24" s="27" t="s">
        <v>294</v>
      </c>
      <c r="E24" s="27">
        <v>4</v>
      </c>
      <c r="F24" s="27"/>
      <c r="G24" s="27" t="s">
        <v>295</v>
      </c>
      <c r="H24" s="27">
        <v>11</v>
      </c>
      <c r="I24" s="27"/>
    </row>
    <row r="25">
      <c r="A25" s="125" t="s">
        <v>202</v>
      </c>
      <c r="B25" s="27" t="s">
        <v>298</v>
      </c>
      <c r="C25" s="27" t="s">
        <v>203</v>
      </c>
      <c r="D25" s="27" t="s">
        <v>300</v>
      </c>
      <c r="E25" s="27">
        <v>0.37</v>
      </c>
      <c r="F25" s="27"/>
      <c r="G25" s="27" t="s">
        <v>295</v>
      </c>
      <c r="H25" s="27">
        <v>11</v>
      </c>
      <c r="I25" s="27"/>
    </row>
    <row r="26">
      <c r="A26" s="125" t="s">
        <v>202</v>
      </c>
      <c r="B26" s="27" t="s">
        <v>298</v>
      </c>
      <c r="C26" s="27" t="s">
        <v>203</v>
      </c>
      <c r="D26" s="27" t="s">
        <v>301</v>
      </c>
      <c r="E26" s="27">
        <v>0.75</v>
      </c>
      <c r="F26" s="27"/>
      <c r="G26" s="27" t="s">
        <v>295</v>
      </c>
      <c r="H26" s="27">
        <v>11</v>
      </c>
      <c r="I26" s="27"/>
    </row>
    <row r="27">
      <c r="A27" s="125" t="s">
        <v>202</v>
      </c>
      <c r="B27" s="27" t="s">
        <v>298</v>
      </c>
      <c r="C27" s="27" t="s">
        <v>203</v>
      </c>
      <c r="D27" s="27" t="s">
        <v>302</v>
      </c>
      <c r="E27" s="27">
        <v>4000</v>
      </c>
      <c r="F27" s="27"/>
      <c r="G27" s="27" t="s">
        <v>303</v>
      </c>
      <c r="H27" s="27">
        <v>11</v>
      </c>
      <c r="I27" s="27"/>
    </row>
    <row r="28">
      <c r="A28" s="125" t="s">
        <v>205</v>
      </c>
      <c r="B28" s="27" t="s">
        <v>298</v>
      </c>
      <c r="C28" s="27" t="s">
        <v>206</v>
      </c>
      <c r="D28" s="27" t="s">
        <v>299</v>
      </c>
      <c r="E28" s="27">
        <v>1.5</v>
      </c>
      <c r="F28" s="27"/>
      <c r="G28" s="27" t="s">
        <v>295</v>
      </c>
      <c r="H28" s="27">
        <v>11</v>
      </c>
      <c r="I28" s="27"/>
    </row>
    <row r="29">
      <c r="A29" s="125" t="s">
        <v>205</v>
      </c>
      <c r="B29" s="27" t="s">
        <v>298</v>
      </c>
      <c r="C29" s="27" t="s">
        <v>206</v>
      </c>
      <c r="D29" s="27" t="s">
        <v>294</v>
      </c>
      <c r="E29" s="27">
        <v>5.5</v>
      </c>
      <c r="F29" s="27"/>
      <c r="G29" s="27" t="s">
        <v>295</v>
      </c>
      <c r="H29" s="27">
        <v>11</v>
      </c>
      <c r="I29" s="27"/>
    </row>
    <row r="30">
      <c r="A30" s="125" t="s">
        <v>205</v>
      </c>
      <c r="B30" s="27" t="s">
        <v>298</v>
      </c>
      <c r="C30" s="27" t="s">
        <v>206</v>
      </c>
      <c r="D30" s="27" t="s">
        <v>300</v>
      </c>
      <c r="E30" s="27">
        <v>0.55</v>
      </c>
      <c r="F30" s="27"/>
      <c r="G30" s="27" t="s">
        <v>295</v>
      </c>
      <c r="H30" s="27">
        <v>11</v>
      </c>
      <c r="I30" s="27"/>
    </row>
    <row r="31">
      <c r="A31" s="125" t="s">
        <v>205</v>
      </c>
      <c r="B31" s="27" t="s">
        <v>298</v>
      </c>
      <c r="C31" s="27" t="s">
        <v>206</v>
      </c>
      <c r="D31" s="27" t="s">
        <v>301</v>
      </c>
      <c r="E31" s="27">
        <v>0.75</v>
      </c>
      <c r="F31" s="27"/>
      <c r="G31" s="27" t="s">
        <v>295</v>
      </c>
      <c r="H31" s="27">
        <v>11</v>
      </c>
      <c r="I31" s="27"/>
    </row>
    <row r="32">
      <c r="A32" s="125" t="s">
        <v>205</v>
      </c>
      <c r="B32" s="27" t="s">
        <v>298</v>
      </c>
      <c r="C32" s="27" t="s">
        <v>206</v>
      </c>
      <c r="D32" s="27" t="s">
        <v>302</v>
      </c>
      <c r="E32" s="27">
        <v>4000</v>
      </c>
      <c r="F32" s="27"/>
      <c r="G32" s="27" t="s">
        <v>303</v>
      </c>
      <c r="H32" s="27">
        <v>11</v>
      </c>
      <c r="I32" s="27"/>
    </row>
    <row r="33">
      <c r="A33" s="125" t="s">
        <v>208</v>
      </c>
      <c r="B33" s="27" t="s">
        <v>298</v>
      </c>
      <c r="C33" s="27" t="s">
        <v>209</v>
      </c>
      <c r="D33" s="27" t="s">
        <v>299</v>
      </c>
      <c r="E33" s="27">
        <v>4</v>
      </c>
      <c r="F33" s="27"/>
      <c r="G33" s="27" t="s">
        <v>295</v>
      </c>
      <c r="H33" s="27">
        <v>11</v>
      </c>
      <c r="I33" s="27"/>
    </row>
    <row r="34">
      <c r="A34" s="125" t="s">
        <v>208</v>
      </c>
      <c r="B34" s="27" t="s">
        <v>298</v>
      </c>
      <c r="C34" s="27" t="s">
        <v>209</v>
      </c>
      <c r="D34" s="27" t="s">
        <v>294</v>
      </c>
      <c r="E34" s="27">
        <v>11</v>
      </c>
      <c r="F34" s="27"/>
      <c r="G34" s="27" t="s">
        <v>295</v>
      </c>
      <c r="H34" s="27">
        <v>11</v>
      </c>
      <c r="I34" s="27"/>
    </row>
    <row r="35">
      <c r="A35" s="125" t="s">
        <v>208</v>
      </c>
      <c r="B35" s="27" t="s">
        <v>298</v>
      </c>
      <c r="C35" s="27" t="s">
        <v>209</v>
      </c>
      <c r="D35" s="27" t="s">
        <v>300</v>
      </c>
      <c r="E35" s="27">
        <v>0.55</v>
      </c>
      <c r="F35" s="27"/>
      <c r="G35" s="27" t="s">
        <v>295</v>
      </c>
      <c r="H35" s="27">
        <v>11</v>
      </c>
      <c r="I35" s="27"/>
    </row>
    <row r="36">
      <c r="A36" s="125" t="s">
        <v>208</v>
      </c>
      <c r="B36" s="27" t="s">
        <v>298</v>
      </c>
      <c r="C36" s="27" t="s">
        <v>209</v>
      </c>
      <c r="D36" s="27" t="s">
        <v>301</v>
      </c>
      <c r="E36" s="27">
        <v>0.75</v>
      </c>
      <c r="F36" s="27"/>
      <c r="G36" s="27" t="s">
        <v>295</v>
      </c>
      <c r="H36" s="27">
        <v>11</v>
      </c>
      <c r="I36" s="27"/>
    </row>
    <row r="37">
      <c r="A37" s="125" t="s">
        <v>208</v>
      </c>
      <c r="B37" s="27" t="s">
        <v>298</v>
      </c>
      <c r="C37" s="27" t="s">
        <v>209</v>
      </c>
      <c r="D37" s="27" t="s">
        <v>302</v>
      </c>
      <c r="E37" s="27">
        <v>4000</v>
      </c>
      <c r="F37" s="27"/>
      <c r="G37" s="27" t="s">
        <v>303</v>
      </c>
      <c r="H37" s="27">
        <v>11</v>
      </c>
      <c r="I37" s="27"/>
    </row>
    <row r="38">
      <c r="A38" s="125" t="s">
        <v>210</v>
      </c>
      <c r="B38" s="27" t="s">
        <v>298</v>
      </c>
      <c r="C38" s="27" t="s">
        <v>211</v>
      </c>
      <c r="D38" s="27" t="s">
        <v>299</v>
      </c>
      <c r="E38" s="27">
        <v>5.5</v>
      </c>
      <c r="F38" s="27"/>
      <c r="G38" s="27" t="s">
        <v>295</v>
      </c>
      <c r="H38" s="27">
        <v>11</v>
      </c>
      <c r="I38" s="27"/>
    </row>
    <row r="39">
      <c r="A39" s="125" t="s">
        <v>210</v>
      </c>
      <c r="B39" s="27" t="s">
        <v>298</v>
      </c>
      <c r="C39" s="27" t="s">
        <v>211</v>
      </c>
      <c r="D39" s="27" t="s">
        <v>294</v>
      </c>
      <c r="E39" s="27">
        <v>18.5</v>
      </c>
      <c r="F39" s="27"/>
      <c r="G39" s="27" t="s">
        <v>295</v>
      </c>
      <c r="H39" s="27">
        <v>11</v>
      </c>
      <c r="I39" s="27"/>
    </row>
    <row r="40">
      <c r="A40" s="125" t="s">
        <v>210</v>
      </c>
      <c r="B40" s="27" t="s">
        <v>298</v>
      </c>
      <c r="C40" s="27" t="s">
        <v>211</v>
      </c>
      <c r="D40" s="27" t="s">
        <v>300</v>
      </c>
      <c r="E40" s="27">
        <v>0.75</v>
      </c>
      <c r="F40" s="27"/>
      <c r="G40" s="27" t="s">
        <v>295</v>
      </c>
      <c r="H40" s="27">
        <v>11</v>
      </c>
      <c r="I40" s="27"/>
    </row>
    <row r="41">
      <c r="A41" s="125" t="s">
        <v>210</v>
      </c>
      <c r="B41" s="27" t="s">
        <v>298</v>
      </c>
      <c r="C41" s="27" t="s">
        <v>211</v>
      </c>
      <c r="D41" s="27" t="s">
        <v>301</v>
      </c>
      <c r="E41" s="27">
        <v>1.1</v>
      </c>
      <c r="F41" s="27"/>
      <c r="G41" s="27" t="s">
        <v>295</v>
      </c>
      <c r="H41" s="27">
        <v>11</v>
      </c>
      <c r="I41" s="27"/>
    </row>
    <row r="42">
      <c r="A42" s="125" t="s">
        <v>210</v>
      </c>
      <c r="B42" s="27" t="s">
        <v>298</v>
      </c>
      <c r="C42" s="27" t="s">
        <v>211</v>
      </c>
      <c r="D42" s="27" t="s">
        <v>302</v>
      </c>
      <c r="E42" s="27">
        <v>3500</v>
      </c>
      <c r="F42" s="27"/>
      <c r="G42" s="27" t="s">
        <v>303</v>
      </c>
      <c r="H42" s="27">
        <v>11</v>
      </c>
      <c r="I42" s="27"/>
    </row>
    <row r="43">
      <c r="A43" s="125" t="s">
        <v>212</v>
      </c>
      <c r="B43" s="27" t="s">
        <v>298</v>
      </c>
      <c r="C43" s="27" t="s">
        <v>213</v>
      </c>
      <c r="D43" s="27" t="s">
        <v>299</v>
      </c>
      <c r="E43" s="27">
        <v>11</v>
      </c>
      <c r="F43" s="27"/>
      <c r="G43" s="27" t="s">
        <v>295</v>
      </c>
      <c r="H43" s="27">
        <v>11</v>
      </c>
      <c r="I43" s="27"/>
    </row>
    <row r="44">
      <c r="A44" s="125" t="s">
        <v>212</v>
      </c>
      <c r="B44" s="27" t="s">
        <v>298</v>
      </c>
      <c r="C44" s="27" t="s">
        <v>213</v>
      </c>
      <c r="D44" s="27" t="s">
        <v>294</v>
      </c>
      <c r="E44" s="27">
        <v>37</v>
      </c>
      <c r="F44" s="27"/>
      <c r="G44" s="27" t="s">
        <v>295</v>
      </c>
      <c r="H44" s="27">
        <v>11</v>
      </c>
      <c r="I44" s="27"/>
    </row>
    <row r="45">
      <c r="A45" s="125" t="s">
        <v>212</v>
      </c>
      <c r="B45" s="27" t="s">
        <v>298</v>
      </c>
      <c r="C45" s="27" t="s">
        <v>213</v>
      </c>
      <c r="D45" s="27" t="s">
        <v>300</v>
      </c>
      <c r="E45" s="27">
        <v>1.5</v>
      </c>
      <c r="F45" s="27"/>
      <c r="G45" s="27" t="s">
        <v>295</v>
      </c>
      <c r="H45" s="27">
        <v>11</v>
      </c>
      <c r="I45" s="27"/>
    </row>
    <row r="46">
      <c r="A46" s="125" t="s">
        <v>212</v>
      </c>
      <c r="B46" s="27" t="s">
        <v>298</v>
      </c>
      <c r="C46" s="27" t="s">
        <v>213</v>
      </c>
      <c r="D46" s="27" t="s">
        <v>301</v>
      </c>
      <c r="E46" s="27">
        <v>1.5</v>
      </c>
      <c r="F46" s="27"/>
      <c r="G46" s="27" t="s">
        <v>295</v>
      </c>
      <c r="H46" s="27">
        <v>11</v>
      </c>
      <c r="I46" s="27"/>
    </row>
    <row r="47">
      <c r="A47" s="125" t="s">
        <v>212</v>
      </c>
      <c r="B47" s="27" t="s">
        <v>298</v>
      </c>
      <c r="C47" s="27" t="s">
        <v>213</v>
      </c>
      <c r="D47" s="27" t="s">
        <v>302</v>
      </c>
      <c r="E47" s="27">
        <v>3000</v>
      </c>
      <c r="F47" s="27"/>
      <c r="G47" s="27" t="s">
        <v>303</v>
      </c>
      <c r="H47" s="27">
        <v>11</v>
      </c>
      <c r="I47" s="27"/>
    </row>
    <row r="48">
      <c r="A48" s="125" t="s">
        <v>214</v>
      </c>
      <c r="B48" s="27" t="s">
        <v>298</v>
      </c>
      <c r="C48" s="27" t="s">
        <v>215</v>
      </c>
      <c r="D48" s="27" t="s">
        <v>299</v>
      </c>
      <c r="E48" s="27">
        <v>15</v>
      </c>
      <c r="F48" s="27"/>
      <c r="G48" s="27" t="s">
        <v>295</v>
      </c>
      <c r="H48" s="27">
        <v>11</v>
      </c>
      <c r="I48" s="27"/>
    </row>
    <row r="49">
      <c r="A49" s="125" t="s">
        <v>214</v>
      </c>
      <c r="B49" s="27" t="s">
        <v>298</v>
      </c>
      <c r="C49" s="27" t="s">
        <v>215</v>
      </c>
      <c r="D49" s="27" t="s">
        <v>294</v>
      </c>
      <c r="E49" s="27">
        <v>45</v>
      </c>
      <c r="F49" s="27"/>
      <c r="G49" s="27" t="s">
        <v>295</v>
      </c>
      <c r="H49" s="27">
        <v>11</v>
      </c>
      <c r="I49" s="27"/>
    </row>
    <row r="50">
      <c r="A50" s="125" t="s">
        <v>214</v>
      </c>
      <c r="B50" s="27" t="s">
        <v>298</v>
      </c>
      <c r="C50" s="27" t="s">
        <v>215</v>
      </c>
      <c r="D50" s="27" t="s">
        <v>300</v>
      </c>
      <c r="E50" s="27">
        <v>2.2</v>
      </c>
      <c r="F50" s="27"/>
      <c r="G50" s="27" t="s">
        <v>295</v>
      </c>
      <c r="H50" s="27">
        <v>11</v>
      </c>
      <c r="I50" s="27"/>
    </row>
    <row r="51">
      <c r="A51" s="125" t="s">
        <v>214</v>
      </c>
      <c r="B51" s="27" t="s">
        <v>298</v>
      </c>
      <c r="C51" s="27" t="s">
        <v>215</v>
      </c>
      <c r="D51" s="27" t="s">
        <v>301</v>
      </c>
      <c r="E51" s="27">
        <v>1.5</v>
      </c>
      <c r="F51" s="27"/>
      <c r="G51" s="27" t="s">
        <v>295</v>
      </c>
      <c r="H51" s="27">
        <v>11</v>
      </c>
      <c r="I51" s="27"/>
    </row>
    <row r="52">
      <c r="A52" s="125" t="s">
        <v>214</v>
      </c>
      <c r="B52" s="27" t="s">
        <v>298</v>
      </c>
      <c r="C52" s="27" t="s">
        <v>215</v>
      </c>
      <c r="D52" s="27" t="s">
        <v>302</v>
      </c>
      <c r="E52" s="27">
        <v>3000</v>
      </c>
      <c r="F52" s="27"/>
      <c r="G52" s="27" t="s">
        <v>303</v>
      </c>
      <c r="H52" s="27">
        <v>11</v>
      </c>
      <c r="I52" s="27"/>
    </row>
    <row r="53">
      <c r="A53" s="125" t="s">
        <v>217</v>
      </c>
      <c r="B53" s="27" t="s">
        <v>298</v>
      </c>
      <c r="C53" s="27" t="s">
        <v>218</v>
      </c>
      <c r="D53" s="27" t="s">
        <v>299</v>
      </c>
      <c r="E53" s="27">
        <v>18.5</v>
      </c>
      <c r="F53" s="27"/>
      <c r="G53" s="27" t="s">
        <v>295</v>
      </c>
      <c r="H53" s="27">
        <v>11</v>
      </c>
      <c r="I53" s="27"/>
    </row>
    <row r="54">
      <c r="A54" s="125" t="s">
        <v>217</v>
      </c>
      <c r="B54" s="27" t="s">
        <v>298</v>
      </c>
      <c r="C54" s="27" t="s">
        <v>218</v>
      </c>
      <c r="D54" s="27" t="s">
        <v>294</v>
      </c>
      <c r="E54" s="27">
        <v>75</v>
      </c>
      <c r="F54" s="27"/>
      <c r="G54" s="27" t="s">
        <v>295</v>
      </c>
      <c r="H54" s="27">
        <v>11</v>
      </c>
      <c r="I54" s="27"/>
    </row>
    <row r="55">
      <c r="A55" s="125" t="s">
        <v>217</v>
      </c>
      <c r="B55" s="27" t="s">
        <v>298</v>
      </c>
      <c r="C55" s="27" t="s">
        <v>218</v>
      </c>
      <c r="D55" s="27" t="s">
        <v>300</v>
      </c>
      <c r="E55" s="27">
        <v>2.2</v>
      </c>
      <c r="F55" s="27"/>
      <c r="G55" s="27" t="s">
        <v>295</v>
      </c>
      <c r="H55" s="27">
        <v>11</v>
      </c>
      <c r="I55" s="27"/>
    </row>
    <row r="56">
      <c r="A56" s="125" t="s">
        <v>217</v>
      </c>
      <c r="B56" s="27" t="s">
        <v>298</v>
      </c>
      <c r="C56" s="27" t="s">
        <v>218</v>
      </c>
      <c r="D56" s="27" t="s">
        <v>301</v>
      </c>
      <c r="E56" s="27">
        <v>1.5</v>
      </c>
      <c r="F56" s="27"/>
      <c r="G56" s="27" t="s">
        <v>295</v>
      </c>
      <c r="H56" s="27">
        <v>11</v>
      </c>
      <c r="I56" s="27"/>
    </row>
    <row r="57">
      <c r="A57" s="125" t="s">
        <v>217</v>
      </c>
      <c r="B57" s="27" t="s">
        <v>298</v>
      </c>
      <c r="C57" s="27" t="s">
        <v>218</v>
      </c>
      <c r="D57" s="27" t="s">
        <v>302</v>
      </c>
      <c r="E57" s="27">
        <v>3000</v>
      </c>
      <c r="F57" s="27"/>
      <c r="G57" s="27" t="s">
        <v>303</v>
      </c>
      <c r="H57" s="27">
        <v>11</v>
      </c>
      <c r="I57" s="27"/>
    </row>
    <row r="58">
      <c r="A58" s="125" t="s">
        <v>219</v>
      </c>
      <c r="B58" s="27" t="s">
        <v>304</v>
      </c>
      <c r="C58" s="27" t="s">
        <v>220</v>
      </c>
      <c r="D58" s="27" t="s">
        <v>305</v>
      </c>
      <c r="E58" s="27">
        <v>11</v>
      </c>
      <c r="F58" s="27"/>
      <c r="G58" s="27" t="s">
        <v>295</v>
      </c>
      <c r="H58" s="27">
        <v>13</v>
      </c>
      <c r="I58" s="27"/>
    </row>
    <row r="59">
      <c r="A59" s="125" t="s">
        <v>219</v>
      </c>
      <c r="B59" s="27" t="s">
        <v>304</v>
      </c>
      <c r="C59" s="27" t="s">
        <v>220</v>
      </c>
      <c r="D59" s="27" t="s">
        <v>306</v>
      </c>
      <c r="E59" s="27">
        <v>11</v>
      </c>
      <c r="F59" s="27"/>
      <c r="G59" s="27" t="s">
        <v>295</v>
      </c>
      <c r="H59" s="27">
        <v>13</v>
      </c>
      <c r="I59" s="27"/>
    </row>
    <row r="60">
      <c r="A60" s="125" t="s">
        <v>219</v>
      </c>
      <c r="B60" s="27" t="s">
        <v>304</v>
      </c>
      <c r="C60" s="27" t="s">
        <v>220</v>
      </c>
      <c r="D60" s="27" t="s">
        <v>307</v>
      </c>
      <c r="E60" s="27">
        <v>7.5</v>
      </c>
      <c r="F60" s="27"/>
      <c r="G60" s="27" t="s">
        <v>295</v>
      </c>
      <c r="H60" s="27">
        <v>13</v>
      </c>
      <c r="I60" s="27"/>
    </row>
    <row r="61">
      <c r="A61" s="125" t="s">
        <v>219</v>
      </c>
      <c r="B61" s="27" t="s">
        <v>304</v>
      </c>
      <c r="C61" s="27" t="s">
        <v>220</v>
      </c>
      <c r="D61" s="27" t="s">
        <v>308</v>
      </c>
      <c r="E61" s="27">
        <v>7.5</v>
      </c>
      <c r="F61" s="27"/>
      <c r="G61" s="27" t="s">
        <v>295</v>
      </c>
      <c r="H61" s="27">
        <v>13</v>
      </c>
      <c r="I61" s="27"/>
    </row>
    <row r="62">
      <c r="A62" s="125" t="s">
        <v>222</v>
      </c>
      <c r="B62" s="27" t="s">
        <v>304</v>
      </c>
      <c r="C62" s="27" t="s">
        <v>223</v>
      </c>
      <c r="D62" s="27" t="s">
        <v>305</v>
      </c>
      <c r="E62" s="27">
        <v>15</v>
      </c>
      <c r="F62" s="27"/>
      <c r="G62" s="27" t="s">
        <v>295</v>
      </c>
      <c r="H62" s="27">
        <v>13</v>
      </c>
      <c r="I62" s="27"/>
    </row>
    <row r="63">
      <c r="A63" s="125" t="s">
        <v>222</v>
      </c>
      <c r="B63" s="27" t="s">
        <v>304</v>
      </c>
      <c r="C63" s="27" t="s">
        <v>223</v>
      </c>
      <c r="D63" s="27" t="s">
        <v>306</v>
      </c>
      <c r="E63" s="27">
        <v>18.5</v>
      </c>
      <c r="F63" s="27"/>
      <c r="G63" s="27" t="s">
        <v>295</v>
      </c>
      <c r="H63" s="27">
        <v>13</v>
      </c>
      <c r="I63" s="27"/>
    </row>
    <row r="64">
      <c r="A64" s="125" t="s">
        <v>222</v>
      </c>
      <c r="B64" s="27" t="s">
        <v>304</v>
      </c>
      <c r="C64" s="27" t="s">
        <v>223</v>
      </c>
      <c r="D64" s="27" t="s">
        <v>307</v>
      </c>
      <c r="E64" s="27">
        <v>15</v>
      </c>
      <c r="F64" s="27"/>
      <c r="G64" s="27" t="s">
        <v>295</v>
      </c>
      <c r="H64" s="27">
        <v>13</v>
      </c>
      <c r="I64" s="27"/>
    </row>
    <row r="65">
      <c r="A65" s="125" t="s">
        <v>222</v>
      </c>
      <c r="B65" s="27" t="s">
        <v>304</v>
      </c>
      <c r="C65" s="27" t="s">
        <v>223</v>
      </c>
      <c r="D65" s="27" t="s">
        <v>308</v>
      </c>
      <c r="E65" s="27">
        <v>18.5</v>
      </c>
      <c r="F65" s="27"/>
      <c r="G65" s="27" t="s">
        <v>295</v>
      </c>
      <c r="H65" s="27">
        <v>13</v>
      </c>
      <c r="I65" s="27"/>
    </row>
    <row r="66">
      <c r="A66" s="125" t="s">
        <v>224</v>
      </c>
      <c r="B66" s="27" t="s">
        <v>304</v>
      </c>
      <c r="C66" s="27" t="s">
        <v>225</v>
      </c>
      <c r="D66" s="27" t="s">
        <v>305</v>
      </c>
      <c r="E66" s="27">
        <v>22</v>
      </c>
      <c r="F66" s="27"/>
      <c r="G66" s="27" t="s">
        <v>295</v>
      </c>
      <c r="H66" s="27">
        <v>13</v>
      </c>
      <c r="I66" s="27"/>
    </row>
    <row r="67">
      <c r="A67" s="125" t="s">
        <v>224</v>
      </c>
      <c r="B67" s="27" t="s">
        <v>304</v>
      </c>
      <c r="C67" s="27" t="s">
        <v>225</v>
      </c>
      <c r="D67" s="27" t="s">
        <v>306</v>
      </c>
      <c r="E67" s="27">
        <v>30</v>
      </c>
      <c r="F67" s="27"/>
      <c r="G67" s="27" t="s">
        <v>295</v>
      </c>
      <c r="H67" s="27">
        <v>13</v>
      </c>
      <c r="I67" s="27"/>
    </row>
    <row r="68">
      <c r="A68" s="125" t="s">
        <v>224</v>
      </c>
      <c r="B68" s="27" t="s">
        <v>304</v>
      </c>
      <c r="C68" s="27" t="s">
        <v>225</v>
      </c>
      <c r="D68" s="27" t="s">
        <v>307</v>
      </c>
      <c r="E68" s="27">
        <v>22</v>
      </c>
      <c r="F68" s="27"/>
      <c r="G68" s="27" t="s">
        <v>295</v>
      </c>
      <c r="H68" s="27">
        <v>13</v>
      </c>
      <c r="I68" s="27"/>
    </row>
    <row r="69">
      <c r="A69" s="125" t="s">
        <v>224</v>
      </c>
      <c r="B69" s="27" t="s">
        <v>304</v>
      </c>
      <c r="C69" s="27" t="s">
        <v>225</v>
      </c>
      <c r="D69" s="27" t="s">
        <v>308</v>
      </c>
      <c r="E69" s="27">
        <v>30</v>
      </c>
      <c r="F69" s="27"/>
      <c r="G69" s="27" t="s">
        <v>295</v>
      </c>
      <c r="H69" s="27">
        <v>13</v>
      </c>
      <c r="I69" s="27"/>
    </row>
    <row r="70">
      <c r="A70" s="125" t="s">
        <v>226</v>
      </c>
      <c r="B70" s="27" t="s">
        <v>304</v>
      </c>
      <c r="C70" s="27" t="s">
        <v>227</v>
      </c>
      <c r="D70" s="27" t="s">
        <v>305</v>
      </c>
      <c r="E70" s="27">
        <v>30</v>
      </c>
      <c r="F70" s="27"/>
      <c r="G70" s="27" t="s">
        <v>295</v>
      </c>
      <c r="H70" s="27">
        <v>13</v>
      </c>
      <c r="I70" s="27"/>
    </row>
    <row r="71">
      <c r="A71" s="125" t="s">
        <v>226</v>
      </c>
      <c r="B71" s="27" t="s">
        <v>304</v>
      </c>
      <c r="C71" s="27" t="s">
        <v>227</v>
      </c>
      <c r="D71" s="27" t="s">
        <v>306</v>
      </c>
      <c r="E71" s="27">
        <v>37</v>
      </c>
      <c r="F71" s="27"/>
      <c r="G71" s="27" t="s">
        <v>295</v>
      </c>
      <c r="H71" s="27">
        <v>13</v>
      </c>
      <c r="I71" s="27"/>
    </row>
    <row r="72">
      <c r="A72" s="125" t="s">
        <v>226</v>
      </c>
      <c r="B72" s="27" t="s">
        <v>304</v>
      </c>
      <c r="C72" s="27" t="s">
        <v>227</v>
      </c>
      <c r="D72" s="27" t="s">
        <v>307</v>
      </c>
      <c r="E72" s="27">
        <v>30</v>
      </c>
      <c r="F72" s="27"/>
      <c r="G72" s="27" t="s">
        <v>295</v>
      </c>
      <c r="H72" s="27">
        <v>13</v>
      </c>
      <c r="I72" s="27"/>
    </row>
    <row r="73">
      <c r="A73" s="125" t="s">
        <v>226</v>
      </c>
      <c r="B73" s="27" t="s">
        <v>304</v>
      </c>
      <c r="C73" s="27" t="s">
        <v>227</v>
      </c>
      <c r="D73" s="27" t="s">
        <v>308</v>
      </c>
      <c r="E73" s="27">
        <v>37</v>
      </c>
      <c r="F73" s="27"/>
      <c r="G73" s="27" t="s">
        <v>295</v>
      </c>
      <c r="H73" s="27">
        <v>13</v>
      </c>
      <c r="I73" s="27"/>
    </row>
    <row r="74">
      <c r="A74" s="125" t="s">
        <v>228</v>
      </c>
      <c r="B74" s="27" t="s">
        <v>304</v>
      </c>
      <c r="C74" s="27" t="s">
        <v>229</v>
      </c>
      <c r="D74" s="27" t="s">
        <v>305</v>
      </c>
      <c r="E74" s="27">
        <v>55</v>
      </c>
      <c r="F74" s="27"/>
      <c r="G74" s="27" t="s">
        <v>295</v>
      </c>
      <c r="H74" s="27">
        <v>13</v>
      </c>
      <c r="I74" s="27"/>
    </row>
    <row r="75">
      <c r="A75" s="125" t="s">
        <v>228</v>
      </c>
      <c r="B75" s="27" t="s">
        <v>304</v>
      </c>
      <c r="C75" s="27" t="s">
        <v>229</v>
      </c>
      <c r="D75" s="27" t="s">
        <v>306</v>
      </c>
      <c r="E75" s="27">
        <v>55</v>
      </c>
      <c r="F75" s="27"/>
      <c r="G75" s="27" t="s">
        <v>295</v>
      </c>
      <c r="H75" s="27">
        <v>13</v>
      </c>
      <c r="I75" s="27"/>
    </row>
    <row r="76">
      <c r="A76" s="125" t="s">
        <v>228</v>
      </c>
      <c r="B76" s="27" t="s">
        <v>304</v>
      </c>
      <c r="C76" s="27" t="s">
        <v>229</v>
      </c>
      <c r="D76" s="27" t="s">
        <v>307</v>
      </c>
      <c r="E76" s="27">
        <v>55</v>
      </c>
      <c r="F76" s="27"/>
      <c r="G76" s="27" t="s">
        <v>295</v>
      </c>
      <c r="H76" s="27">
        <v>13</v>
      </c>
      <c r="I76" s="27"/>
    </row>
    <row r="77">
      <c r="A77" s="125" t="s">
        <v>228</v>
      </c>
      <c r="B77" s="27" t="s">
        <v>304</v>
      </c>
      <c r="C77" s="27" t="s">
        <v>229</v>
      </c>
      <c r="D77" s="27" t="s">
        <v>308</v>
      </c>
      <c r="E77" s="27">
        <v>55</v>
      </c>
      <c r="F77" s="27"/>
      <c r="G77" s="27" t="s">
        <v>295</v>
      </c>
      <c r="H77" s="27">
        <v>13</v>
      </c>
      <c r="I77" s="27"/>
    </row>
    <row r="78">
      <c r="A78" s="125" t="s">
        <v>231</v>
      </c>
      <c r="B78" s="27" t="s">
        <v>309</v>
      </c>
      <c r="C78" s="27" t="s">
        <v>232</v>
      </c>
      <c r="D78" s="27" t="s">
        <v>301</v>
      </c>
      <c r="E78" s="27"/>
      <c r="F78" s="27"/>
      <c r="G78" s="27" t="s">
        <v>295</v>
      </c>
      <c r="H78" s="27">
        <v>15</v>
      </c>
      <c r="I78" s="27"/>
    </row>
    <row r="79">
      <c r="A79" s="125" t="s">
        <v>231</v>
      </c>
      <c r="B79" s="27" t="s">
        <v>309</v>
      </c>
      <c r="C79" s="27" t="s">
        <v>232</v>
      </c>
      <c r="D79" s="27" t="s">
        <v>294</v>
      </c>
      <c r="E79" s="27"/>
      <c r="F79" s="27"/>
      <c r="G79" s="27" t="s">
        <v>295</v>
      </c>
      <c r="H79" s="27">
        <v>15</v>
      </c>
      <c r="I79" s="27"/>
    </row>
    <row r="80">
      <c r="A80" s="125" t="s">
        <v>233</v>
      </c>
      <c r="B80" s="27" t="s">
        <v>309</v>
      </c>
      <c r="C80" s="27" t="s">
        <v>234</v>
      </c>
      <c r="D80" s="27" t="s">
        <v>301</v>
      </c>
      <c r="E80" s="27"/>
      <c r="F80" s="27"/>
      <c r="G80" s="27" t="s">
        <v>295</v>
      </c>
      <c r="H80" s="27">
        <v>15</v>
      </c>
      <c r="I80" s="27"/>
    </row>
    <row r="81">
      <c r="A81" s="125" t="s">
        <v>233</v>
      </c>
      <c r="B81" s="27" t="s">
        <v>309</v>
      </c>
      <c r="C81" s="27" t="s">
        <v>234</v>
      </c>
      <c r="D81" s="27" t="s">
        <v>294</v>
      </c>
      <c r="E81" s="27"/>
      <c r="F81" s="27"/>
      <c r="G81" s="27" t="s">
        <v>295</v>
      </c>
      <c r="H81" s="27">
        <v>15</v>
      </c>
      <c r="I81" s="27"/>
    </row>
    <row r="82">
      <c r="A82" s="125" t="s">
        <v>235</v>
      </c>
      <c r="B82" s="27" t="s">
        <v>309</v>
      </c>
      <c r="C82" s="27" t="s">
        <v>236</v>
      </c>
      <c r="D82" s="27" t="s">
        <v>301</v>
      </c>
      <c r="E82" s="27">
        <v>0.75</v>
      </c>
      <c r="F82" s="27"/>
      <c r="G82" s="27" t="s">
        <v>295</v>
      </c>
      <c r="H82" s="27">
        <v>15</v>
      </c>
      <c r="I82" s="27"/>
    </row>
    <row r="83">
      <c r="A83" s="125" t="s">
        <v>235</v>
      </c>
      <c r="B83" s="27" t="s">
        <v>309</v>
      </c>
      <c r="C83" s="27" t="s">
        <v>236</v>
      </c>
      <c r="D83" s="27" t="s">
        <v>294</v>
      </c>
      <c r="E83" s="27">
        <v>3</v>
      </c>
      <c r="F83" s="27"/>
      <c r="G83" s="27" t="s">
        <v>295</v>
      </c>
      <c r="H83" s="27">
        <v>15</v>
      </c>
      <c r="I83" s="27"/>
    </row>
    <row r="84">
      <c r="A84" s="125" t="s">
        <v>237</v>
      </c>
      <c r="B84" s="27" t="s">
        <v>309</v>
      </c>
      <c r="C84" s="27" t="s">
        <v>238</v>
      </c>
      <c r="D84" s="27" t="s">
        <v>301</v>
      </c>
      <c r="E84" s="27">
        <v>0.75</v>
      </c>
      <c r="F84" s="27"/>
      <c r="G84" s="27" t="s">
        <v>295</v>
      </c>
      <c r="H84" s="27">
        <v>15</v>
      </c>
      <c r="I84" s="27"/>
    </row>
    <row r="85">
      <c r="A85" s="125" t="s">
        <v>237</v>
      </c>
      <c r="B85" s="27" t="s">
        <v>309</v>
      </c>
      <c r="C85" s="27" t="s">
        <v>238</v>
      </c>
      <c r="D85" s="27" t="s">
        <v>294</v>
      </c>
      <c r="E85" s="27">
        <v>3</v>
      </c>
      <c r="F85" s="27"/>
      <c r="G85" s="27" t="s">
        <v>295</v>
      </c>
      <c r="H85" s="27">
        <v>15</v>
      </c>
      <c r="I85" s="27"/>
    </row>
    <row r="86">
      <c r="A86" s="125" t="s">
        <v>239</v>
      </c>
      <c r="B86" s="27" t="s">
        <v>309</v>
      </c>
      <c r="C86" s="27" t="s">
        <v>240</v>
      </c>
      <c r="D86" s="27" t="s">
        <v>301</v>
      </c>
      <c r="E86" s="27">
        <v>0.75</v>
      </c>
      <c r="F86" s="27"/>
      <c r="G86" s="27" t="s">
        <v>295</v>
      </c>
      <c r="H86" s="27">
        <v>15</v>
      </c>
      <c r="I86" s="27"/>
    </row>
    <row r="87">
      <c r="A87" s="125" t="s">
        <v>239</v>
      </c>
      <c r="B87" s="27" t="s">
        <v>309</v>
      </c>
      <c r="C87" s="27" t="s">
        <v>240</v>
      </c>
      <c r="D87" s="27" t="s">
        <v>294</v>
      </c>
      <c r="E87" s="27">
        <v>15</v>
      </c>
      <c r="F87" s="27"/>
      <c r="G87" s="27" t="s">
        <v>295</v>
      </c>
      <c r="H87" s="27">
        <v>15</v>
      </c>
      <c r="I87" s="27"/>
    </row>
    <row r="88">
      <c r="A88" s="125" t="s">
        <v>241</v>
      </c>
      <c r="B88" s="27" t="s">
        <v>309</v>
      </c>
      <c r="C88" s="27" t="s">
        <v>242</v>
      </c>
      <c r="D88" s="27" t="s">
        <v>301</v>
      </c>
      <c r="E88" s="27">
        <v>1.1</v>
      </c>
      <c r="F88" s="27"/>
      <c r="G88" s="27" t="s">
        <v>295</v>
      </c>
      <c r="H88" s="27">
        <v>15</v>
      </c>
      <c r="I88" s="27"/>
    </row>
    <row r="89">
      <c r="A89" s="125" t="s">
        <v>241</v>
      </c>
      <c r="B89" s="27" t="s">
        <v>309</v>
      </c>
      <c r="C89" s="27" t="s">
        <v>242</v>
      </c>
      <c r="D89" s="27" t="s">
        <v>294</v>
      </c>
      <c r="E89" s="27">
        <v>18.5</v>
      </c>
      <c r="F89" s="27"/>
      <c r="G89" s="27" t="s">
        <v>295</v>
      </c>
      <c r="H89" s="27">
        <v>15</v>
      </c>
      <c r="I89" s="27"/>
    </row>
    <row r="90">
      <c r="A90" s="125" t="s">
        <v>243</v>
      </c>
      <c r="B90" s="27" t="s">
        <v>309</v>
      </c>
      <c r="C90" s="27" t="s">
        <v>244</v>
      </c>
      <c r="D90" s="27" t="s">
        <v>301</v>
      </c>
      <c r="E90" s="27">
        <v>1.5</v>
      </c>
      <c r="F90" s="27"/>
      <c r="G90" s="27" t="s">
        <v>295</v>
      </c>
      <c r="H90" s="27">
        <v>15</v>
      </c>
      <c r="I90" s="27"/>
    </row>
    <row r="91">
      <c r="A91" s="125" t="s">
        <v>243</v>
      </c>
      <c r="B91" s="27" t="s">
        <v>309</v>
      </c>
      <c r="C91" s="27" t="s">
        <v>244</v>
      </c>
      <c r="D91" s="27" t="s">
        <v>294</v>
      </c>
      <c r="E91" s="27">
        <v>18.5</v>
      </c>
      <c r="F91" s="27"/>
      <c r="G91" s="27" t="s">
        <v>295</v>
      </c>
      <c r="H91" s="27">
        <v>15</v>
      </c>
      <c r="I91" s="27"/>
    </row>
    <row r="92">
      <c r="A92" s="125" t="s">
        <v>245</v>
      </c>
      <c r="B92" s="27" t="s">
        <v>309</v>
      </c>
      <c r="C92" s="27" t="s">
        <v>246</v>
      </c>
      <c r="D92" s="27" t="s">
        <v>301</v>
      </c>
      <c r="E92" s="27">
        <v>1.5</v>
      </c>
      <c r="F92" s="27"/>
      <c r="G92" s="27" t="s">
        <v>295</v>
      </c>
      <c r="H92" s="27">
        <v>15</v>
      </c>
      <c r="I92" s="27"/>
    </row>
    <row r="93">
      <c r="A93" s="125" t="s">
        <v>245</v>
      </c>
      <c r="B93" s="27" t="s">
        <v>309</v>
      </c>
      <c r="C93" s="27" t="s">
        <v>246</v>
      </c>
      <c r="D93" s="27" t="s">
        <v>294</v>
      </c>
      <c r="E93" s="27">
        <v>30</v>
      </c>
      <c r="F93" s="27"/>
      <c r="G93" s="27" t="s">
        <v>295</v>
      </c>
      <c r="H93" s="27">
        <v>15</v>
      </c>
      <c r="I93" s="27"/>
    </row>
    <row r="94">
      <c r="A94" s="125" t="s">
        <v>247</v>
      </c>
      <c r="B94" s="27" t="s">
        <v>310</v>
      </c>
      <c r="C94" s="27" t="s">
        <v>248</v>
      </c>
      <c r="D94" s="27" t="s">
        <v>301</v>
      </c>
      <c r="E94" s="27">
        <v>0.75</v>
      </c>
      <c r="F94" s="27"/>
      <c r="G94" s="27" t="s">
        <v>295</v>
      </c>
      <c r="H94" s="27">
        <v>17</v>
      </c>
      <c r="I94" s="27"/>
    </row>
    <row r="95">
      <c r="A95" s="125" t="s">
        <v>247</v>
      </c>
      <c r="B95" s="27" t="s">
        <v>310</v>
      </c>
      <c r="C95" s="27" t="s">
        <v>248</v>
      </c>
      <c r="D95" s="27" t="s">
        <v>294</v>
      </c>
      <c r="E95" s="27">
        <v>7.5</v>
      </c>
      <c r="F95" s="27"/>
      <c r="G95" s="27" t="s">
        <v>295</v>
      </c>
      <c r="H95" s="27">
        <v>17</v>
      </c>
      <c r="I95" s="27"/>
    </row>
    <row r="96">
      <c r="A96" s="125" t="s">
        <v>249</v>
      </c>
      <c r="B96" s="27" t="s">
        <v>310</v>
      </c>
      <c r="C96" s="27" t="s">
        <v>250</v>
      </c>
      <c r="D96" s="27" t="s">
        <v>301</v>
      </c>
      <c r="E96" s="27">
        <v>0.75</v>
      </c>
      <c r="F96" s="27"/>
      <c r="G96" s="27" t="s">
        <v>295</v>
      </c>
      <c r="H96" s="27">
        <v>17</v>
      </c>
      <c r="I96" s="27"/>
    </row>
    <row r="97">
      <c r="A97" s="125" t="s">
        <v>249</v>
      </c>
      <c r="B97" s="27" t="s">
        <v>310</v>
      </c>
      <c r="C97" s="27" t="s">
        <v>250</v>
      </c>
      <c r="D97" s="27" t="s">
        <v>294</v>
      </c>
      <c r="E97" s="27">
        <v>11</v>
      </c>
      <c r="F97" s="27"/>
      <c r="G97" s="27" t="s">
        <v>295</v>
      </c>
      <c r="H97" s="27">
        <v>17</v>
      </c>
      <c r="I97" s="27"/>
    </row>
    <row r="98">
      <c r="A98" s="125" t="s">
        <v>251</v>
      </c>
      <c r="B98" s="27" t="s">
        <v>310</v>
      </c>
      <c r="C98" s="27" t="s">
        <v>252</v>
      </c>
      <c r="D98" s="27" t="s">
        <v>301</v>
      </c>
      <c r="E98" s="27">
        <v>1.1</v>
      </c>
      <c r="F98" s="27"/>
      <c r="G98" s="27" t="s">
        <v>295</v>
      </c>
      <c r="H98" s="27">
        <v>17</v>
      </c>
      <c r="I98" s="27"/>
    </row>
    <row r="99">
      <c r="A99" s="125" t="s">
        <v>251</v>
      </c>
      <c r="B99" s="27" t="s">
        <v>310</v>
      </c>
      <c r="C99" s="27" t="s">
        <v>252</v>
      </c>
      <c r="D99" s="27" t="s">
        <v>294</v>
      </c>
      <c r="E99" s="27">
        <v>15</v>
      </c>
      <c r="F99" s="27"/>
      <c r="G99" s="27" t="s">
        <v>295</v>
      </c>
      <c r="H99" s="27">
        <v>17</v>
      </c>
      <c r="I99" s="27"/>
    </row>
    <row r="100">
      <c r="A100" s="125" t="s">
        <v>253</v>
      </c>
      <c r="B100" s="27" t="s">
        <v>310</v>
      </c>
      <c r="C100" s="27" t="s">
        <v>254</v>
      </c>
      <c r="D100" s="27" t="s">
        <v>301</v>
      </c>
      <c r="E100" s="27">
        <v>1.5</v>
      </c>
      <c r="F100" s="27"/>
      <c r="G100" s="27" t="s">
        <v>295</v>
      </c>
      <c r="H100" s="27">
        <v>17</v>
      </c>
      <c r="I100" s="27"/>
    </row>
    <row r="101">
      <c r="A101" s="125" t="s">
        <v>253</v>
      </c>
      <c r="B101" s="27" t="s">
        <v>310</v>
      </c>
      <c r="C101" s="27" t="s">
        <v>254</v>
      </c>
      <c r="D101" s="27" t="s">
        <v>294</v>
      </c>
      <c r="E101" s="27">
        <v>18.5</v>
      </c>
      <c r="F101" s="27"/>
      <c r="G101" s="27" t="s">
        <v>295</v>
      </c>
      <c r="H101" s="27">
        <v>17</v>
      </c>
      <c r="I101" s="27"/>
    </row>
    <row r="102">
      <c r="A102" s="125" t="s">
        <v>255</v>
      </c>
      <c r="B102" s="27" t="s">
        <v>311</v>
      </c>
      <c r="C102" s="27" t="s">
        <v>256</v>
      </c>
      <c r="D102" s="27" t="s">
        <v>312</v>
      </c>
      <c r="E102" s="27">
        <v>150</v>
      </c>
      <c r="F102" s="27"/>
      <c r="G102" s="27" t="s">
        <v>162</v>
      </c>
      <c r="H102" s="27">
        <v>18</v>
      </c>
      <c r="I102" s="27"/>
    </row>
    <row r="103">
      <c r="A103" s="125" t="s">
        <v>255</v>
      </c>
      <c r="B103" s="27" t="s">
        <v>311</v>
      </c>
      <c r="C103" s="27" t="s">
        <v>256</v>
      </c>
      <c r="D103" s="27" t="s">
        <v>313</v>
      </c>
      <c r="E103" s="27">
        <v>150</v>
      </c>
      <c r="F103" s="27"/>
      <c r="G103" s="27" t="s">
        <v>162</v>
      </c>
      <c r="H103" s="27">
        <v>18</v>
      </c>
      <c r="I103" s="27"/>
    </row>
    <row r="104">
      <c r="A104" s="125" t="s">
        <v>255</v>
      </c>
      <c r="B104" s="27" t="s">
        <v>311</v>
      </c>
      <c r="C104" s="27" t="s">
        <v>256</v>
      </c>
      <c r="D104" s="27" t="s">
        <v>314</v>
      </c>
      <c r="E104" s="27">
        <v>3</v>
      </c>
      <c r="F104" s="27"/>
      <c r="G104" s="27" t="s">
        <v>315</v>
      </c>
      <c r="H104" s="27">
        <v>18</v>
      </c>
      <c r="I104" s="27"/>
    </row>
    <row r="105">
      <c r="A105" s="125" t="s">
        <v>257</v>
      </c>
      <c r="B105" s="27" t="s">
        <v>311</v>
      </c>
      <c r="C105" s="27" t="s">
        <v>258</v>
      </c>
      <c r="D105" s="27" t="s">
        <v>312</v>
      </c>
      <c r="E105" s="27">
        <v>150</v>
      </c>
      <c r="F105" s="27"/>
      <c r="G105" s="27" t="s">
        <v>162</v>
      </c>
      <c r="H105" s="27">
        <v>18</v>
      </c>
      <c r="I105" s="27"/>
    </row>
    <row r="106">
      <c r="A106" s="125" t="s">
        <v>257</v>
      </c>
      <c r="B106" s="27" t="s">
        <v>311</v>
      </c>
      <c r="C106" s="27" t="s">
        <v>258</v>
      </c>
      <c r="D106" s="27" t="s">
        <v>313</v>
      </c>
      <c r="E106" s="27">
        <v>150</v>
      </c>
      <c r="F106" s="27"/>
      <c r="G106" s="27" t="s">
        <v>162</v>
      </c>
      <c r="H106" s="27">
        <v>18</v>
      </c>
      <c r="I106" s="27"/>
    </row>
    <row r="107">
      <c r="A107" s="125" t="s">
        <v>257</v>
      </c>
      <c r="B107" s="27" t="s">
        <v>311</v>
      </c>
      <c r="C107" s="27" t="s">
        <v>258</v>
      </c>
      <c r="D107" s="27" t="s">
        <v>314</v>
      </c>
      <c r="E107" s="27">
        <v>4</v>
      </c>
      <c r="F107" s="27"/>
      <c r="G107" s="27" t="s">
        <v>315</v>
      </c>
      <c r="H107" s="27">
        <v>18</v>
      </c>
      <c r="I107" s="27"/>
    </row>
    <row r="108">
      <c r="A108" s="125" t="s">
        <v>259</v>
      </c>
      <c r="B108" s="27" t="s">
        <v>311</v>
      </c>
      <c r="C108" s="27" t="s">
        <v>260</v>
      </c>
      <c r="D108" s="27" t="s">
        <v>312</v>
      </c>
      <c r="E108" s="27">
        <v>150</v>
      </c>
      <c r="F108" s="27"/>
      <c r="G108" s="27" t="s">
        <v>162</v>
      </c>
      <c r="H108" s="27">
        <v>18</v>
      </c>
      <c r="I108" s="27"/>
    </row>
    <row r="109">
      <c r="A109" s="125" t="s">
        <v>259</v>
      </c>
      <c r="B109" s="27" t="s">
        <v>311</v>
      </c>
      <c r="C109" s="27" t="s">
        <v>260</v>
      </c>
      <c r="D109" s="27" t="s">
        <v>313</v>
      </c>
      <c r="E109" s="27">
        <v>250</v>
      </c>
      <c r="F109" s="27"/>
      <c r="G109" s="27" t="s">
        <v>162</v>
      </c>
      <c r="H109" s="27">
        <v>18</v>
      </c>
      <c r="I109" s="27"/>
    </row>
    <row r="110">
      <c r="A110" s="125" t="s">
        <v>259</v>
      </c>
      <c r="B110" s="27" t="s">
        <v>311</v>
      </c>
      <c r="C110" s="27" t="s">
        <v>260</v>
      </c>
      <c r="D110" s="27" t="s">
        <v>314</v>
      </c>
      <c r="E110" s="27">
        <v>3</v>
      </c>
      <c r="F110" s="27"/>
      <c r="G110" s="27" t="s">
        <v>315</v>
      </c>
      <c r="H110" s="27">
        <v>18</v>
      </c>
      <c r="I110" s="27"/>
    </row>
    <row r="111">
      <c r="A111" s="125" t="s">
        <v>261</v>
      </c>
      <c r="B111" s="27" t="s">
        <v>311</v>
      </c>
      <c r="C111" s="27" t="s">
        <v>262</v>
      </c>
      <c r="D111" s="27" t="s">
        <v>312</v>
      </c>
      <c r="E111" s="27">
        <v>150</v>
      </c>
      <c r="F111" s="27"/>
      <c r="G111" s="27" t="s">
        <v>162</v>
      </c>
      <c r="H111" s="27">
        <v>18</v>
      </c>
      <c r="I111" s="27"/>
    </row>
    <row r="112">
      <c r="A112" s="125" t="s">
        <v>261</v>
      </c>
      <c r="B112" s="27" t="s">
        <v>311</v>
      </c>
      <c r="C112" s="27" t="s">
        <v>262</v>
      </c>
      <c r="D112" s="27" t="s">
        <v>313</v>
      </c>
      <c r="E112" s="27">
        <v>250</v>
      </c>
      <c r="F112" s="27"/>
      <c r="G112" s="27" t="s">
        <v>162</v>
      </c>
      <c r="H112" s="27">
        <v>18</v>
      </c>
      <c r="I112" s="27"/>
    </row>
    <row r="113">
      <c r="A113" s="125" t="s">
        <v>261</v>
      </c>
      <c r="B113" s="27" t="s">
        <v>311</v>
      </c>
      <c r="C113" s="27" t="s">
        <v>262</v>
      </c>
      <c r="D113" s="27" t="s">
        <v>314</v>
      </c>
      <c r="E113" s="27">
        <v>4</v>
      </c>
      <c r="F113" s="27"/>
      <c r="G113" s="27" t="s">
        <v>315</v>
      </c>
      <c r="H113" s="27">
        <v>18</v>
      </c>
      <c r="I113" s="27"/>
    </row>
    <row r="114">
      <c r="A114" s="125" t="s">
        <v>263</v>
      </c>
      <c r="B114" s="27" t="s">
        <v>311</v>
      </c>
      <c r="C114" s="27" t="s">
        <v>264</v>
      </c>
      <c r="D114" s="27" t="s">
        <v>312</v>
      </c>
      <c r="E114" s="27">
        <v>219</v>
      </c>
      <c r="F114" s="27"/>
      <c r="G114" s="27" t="s">
        <v>162</v>
      </c>
      <c r="H114" s="27">
        <v>18</v>
      </c>
      <c r="I114" s="27"/>
    </row>
    <row r="115">
      <c r="A115" s="125" t="s">
        <v>263</v>
      </c>
      <c r="B115" s="27" t="s">
        <v>311</v>
      </c>
      <c r="C115" s="27" t="s">
        <v>264</v>
      </c>
      <c r="D115" s="27" t="s">
        <v>313</v>
      </c>
      <c r="E115" s="27">
        <v>500</v>
      </c>
      <c r="F115" s="27"/>
      <c r="G115" s="27" t="s">
        <v>162</v>
      </c>
      <c r="H115" s="27">
        <v>18</v>
      </c>
      <c r="I115" s="27"/>
    </row>
    <row r="116">
      <c r="A116" s="125" t="s">
        <v>263</v>
      </c>
      <c r="B116" s="27" t="s">
        <v>311</v>
      </c>
      <c r="C116" s="27" t="s">
        <v>264</v>
      </c>
      <c r="D116" s="27" t="s">
        <v>314</v>
      </c>
      <c r="E116" s="27">
        <v>3</v>
      </c>
      <c r="F116" s="27"/>
      <c r="G116" s="27" t="s">
        <v>315</v>
      </c>
      <c r="H116" s="27">
        <v>18</v>
      </c>
      <c r="I116" s="27"/>
    </row>
    <row r="117">
      <c r="A117" s="125" t="s">
        <v>265</v>
      </c>
      <c r="B117" s="27" t="s">
        <v>311</v>
      </c>
      <c r="C117" s="27" t="s">
        <v>266</v>
      </c>
      <c r="D117" s="27" t="s">
        <v>312</v>
      </c>
      <c r="E117" s="27">
        <v>219</v>
      </c>
      <c r="F117" s="27"/>
      <c r="G117" s="27" t="s">
        <v>162</v>
      </c>
      <c r="H117" s="27">
        <v>18</v>
      </c>
      <c r="I117" s="27"/>
    </row>
    <row r="118">
      <c r="A118" s="125" t="s">
        <v>265</v>
      </c>
      <c r="B118" s="27" t="s">
        <v>311</v>
      </c>
      <c r="C118" s="27" t="s">
        <v>266</v>
      </c>
      <c r="D118" s="27" t="s">
        <v>313</v>
      </c>
      <c r="E118" s="27">
        <v>500</v>
      </c>
      <c r="F118" s="27"/>
      <c r="G118" s="27" t="s">
        <v>162</v>
      </c>
      <c r="H118" s="27">
        <v>18</v>
      </c>
      <c r="I118" s="27"/>
    </row>
    <row r="119">
      <c r="A119" s="125" t="s">
        <v>265</v>
      </c>
      <c r="B119" s="27" t="s">
        <v>311</v>
      </c>
      <c r="C119" s="27" t="s">
        <v>266</v>
      </c>
      <c r="D119" s="27" t="s">
        <v>314</v>
      </c>
      <c r="E119" s="27">
        <v>4</v>
      </c>
      <c r="F119" s="27"/>
      <c r="G119" s="27" t="s">
        <v>315</v>
      </c>
      <c r="H119" s="27">
        <v>18</v>
      </c>
      <c r="I119" s="27"/>
    </row>
    <row r="120">
      <c r="A120" s="125" t="s">
        <v>267</v>
      </c>
      <c r="B120" s="27" t="s">
        <v>316</v>
      </c>
      <c r="C120" s="27" t="s">
        <v>268</v>
      </c>
      <c r="D120" s="27" t="s">
        <v>317</v>
      </c>
      <c r="E120" s="27">
        <v>3</v>
      </c>
      <c r="F120" s="27"/>
      <c r="G120" s="27" t="s">
        <v>318</v>
      </c>
      <c r="H120" s="27">
        <v>19</v>
      </c>
      <c r="I120" s="27" t="s">
        <v>319</v>
      </c>
    </row>
    <row r="121">
      <c r="A121" s="125" t="s">
        <v>267</v>
      </c>
      <c r="B121" s="27" t="s">
        <v>316</v>
      </c>
      <c r="C121" s="27" t="s">
        <v>268</v>
      </c>
      <c r="D121" s="27" t="s">
        <v>320</v>
      </c>
      <c r="E121" s="27"/>
      <c r="F121" s="27" t="s">
        <v>318</v>
      </c>
      <c r="G121" s="27"/>
      <c r="H121" s="27">
        <v>19</v>
      </c>
      <c r="I121" s="27"/>
    </row>
    <row r="122">
      <c r="A122" s="125" t="s">
        <v>267</v>
      </c>
      <c r="B122" s="27" t="s">
        <v>316</v>
      </c>
      <c r="C122" s="27" t="s">
        <v>268</v>
      </c>
      <c r="D122" s="27" t="s">
        <v>321</v>
      </c>
      <c r="E122" s="27">
        <v>0.75</v>
      </c>
      <c r="F122" s="27"/>
      <c r="G122" s="27" t="s">
        <v>322</v>
      </c>
      <c r="H122" s="27">
        <v>19</v>
      </c>
      <c r="I122" s="27"/>
    </row>
    <row r="123">
      <c r="A123" s="125" t="s">
        <v>267</v>
      </c>
      <c r="B123" s="27" t="s">
        <v>316</v>
      </c>
      <c r="C123" s="27" t="s">
        <v>268</v>
      </c>
      <c r="D123" s="27" t="s">
        <v>323</v>
      </c>
      <c r="E123" s="27">
        <v>0.85</v>
      </c>
      <c r="F123" s="27"/>
      <c r="G123" s="27" t="s">
        <v>322</v>
      </c>
      <c r="H123" s="27">
        <v>19</v>
      </c>
      <c r="I123" s="27"/>
    </row>
    <row r="124">
      <c r="A124" s="125" t="s">
        <v>267</v>
      </c>
      <c r="B124" s="27" t="s">
        <v>316</v>
      </c>
      <c r="C124" s="27" t="s">
        <v>268</v>
      </c>
      <c r="D124" s="27" t="s">
        <v>324</v>
      </c>
      <c r="E124" s="27">
        <v>20</v>
      </c>
      <c r="F124" s="27"/>
      <c r="G124" s="27" t="s">
        <v>295</v>
      </c>
      <c r="H124" s="27">
        <v>19</v>
      </c>
      <c r="I124" s="27"/>
    </row>
    <row r="125">
      <c r="A125" s="125" t="s">
        <v>267</v>
      </c>
      <c r="B125" s="27" t="s">
        <v>316</v>
      </c>
      <c r="C125" s="27" t="s">
        <v>268</v>
      </c>
      <c r="D125" s="27" t="s">
        <v>325</v>
      </c>
      <c r="E125" s="27"/>
      <c r="F125" s="27" t="s">
        <v>326</v>
      </c>
      <c r="G125" s="27"/>
      <c r="H125" s="27">
        <v>19</v>
      </c>
      <c r="I125" s="27"/>
    </row>
    <row r="126">
      <c r="A126" s="125" t="s">
        <v>270</v>
      </c>
      <c r="B126" s="27" t="s">
        <v>316</v>
      </c>
      <c r="C126" s="27" t="s">
        <v>271</v>
      </c>
      <c r="D126" s="27" t="s">
        <v>317</v>
      </c>
      <c r="E126" s="27">
        <v>4.5</v>
      </c>
      <c r="F126" s="27"/>
      <c r="G126" s="27" t="s">
        <v>318</v>
      </c>
      <c r="H126" s="27">
        <v>19</v>
      </c>
      <c r="I126" s="27" t="s">
        <v>319</v>
      </c>
    </row>
    <row r="127">
      <c r="A127" s="125" t="s">
        <v>270</v>
      </c>
      <c r="B127" s="27" t="s">
        <v>316</v>
      </c>
      <c r="C127" s="27" t="s">
        <v>271</v>
      </c>
      <c r="D127" s="27" t="s">
        <v>320</v>
      </c>
      <c r="E127" s="27"/>
      <c r="F127" s="27" t="s">
        <v>318</v>
      </c>
      <c r="G127" s="27"/>
      <c r="H127" s="27">
        <v>19</v>
      </c>
      <c r="I127" s="27"/>
    </row>
    <row r="128">
      <c r="A128" s="125" t="s">
        <v>270</v>
      </c>
      <c r="B128" s="27" t="s">
        <v>316</v>
      </c>
      <c r="C128" s="27" t="s">
        <v>271</v>
      </c>
      <c r="D128" s="27" t="s">
        <v>321</v>
      </c>
      <c r="E128" s="27">
        <v>0.75</v>
      </c>
      <c r="F128" s="27"/>
      <c r="G128" s="27" t="s">
        <v>322</v>
      </c>
      <c r="H128" s="27">
        <v>19</v>
      </c>
      <c r="I128" s="27"/>
    </row>
    <row r="129">
      <c r="A129" s="125" t="s">
        <v>270</v>
      </c>
      <c r="B129" s="27" t="s">
        <v>316</v>
      </c>
      <c r="C129" s="27" t="s">
        <v>271</v>
      </c>
      <c r="D129" s="27" t="s">
        <v>323</v>
      </c>
      <c r="E129" s="27">
        <v>0.85</v>
      </c>
      <c r="F129" s="27"/>
      <c r="G129" s="27" t="s">
        <v>322</v>
      </c>
      <c r="H129" s="27">
        <v>19</v>
      </c>
      <c r="I129" s="27"/>
    </row>
    <row r="130">
      <c r="A130" s="125" t="s">
        <v>270</v>
      </c>
      <c r="B130" s="27" t="s">
        <v>316</v>
      </c>
      <c r="C130" s="27" t="s">
        <v>271</v>
      </c>
      <c r="D130" s="27" t="s">
        <v>324</v>
      </c>
      <c r="E130" s="27">
        <v>40</v>
      </c>
      <c r="F130" s="27"/>
      <c r="G130" s="27" t="s">
        <v>295</v>
      </c>
      <c r="H130" s="27">
        <v>19</v>
      </c>
      <c r="I130" s="27"/>
    </row>
    <row r="131">
      <c r="A131" s="125" t="s">
        <v>270</v>
      </c>
      <c r="B131" s="27" t="s">
        <v>316</v>
      </c>
      <c r="C131" s="27" t="s">
        <v>271</v>
      </c>
      <c r="D131" s="27" t="s">
        <v>325</v>
      </c>
      <c r="E131" s="27"/>
      <c r="F131" s="27" t="s">
        <v>326</v>
      </c>
      <c r="G131" s="27"/>
      <c r="H131" s="27">
        <v>19</v>
      </c>
      <c r="I131" s="27"/>
    </row>
    <row r="132">
      <c r="A132" s="125" t="s">
        <v>272</v>
      </c>
      <c r="B132" s="27" t="s">
        <v>316</v>
      </c>
      <c r="C132" s="27" t="s">
        <v>273</v>
      </c>
      <c r="D132" s="27" t="s">
        <v>317</v>
      </c>
      <c r="E132" s="27">
        <v>6</v>
      </c>
      <c r="F132" s="27"/>
      <c r="G132" s="27" t="s">
        <v>318</v>
      </c>
      <c r="H132" s="27">
        <v>19</v>
      </c>
      <c r="I132" s="27" t="s">
        <v>319</v>
      </c>
    </row>
    <row r="133">
      <c r="A133" s="125" t="s">
        <v>272</v>
      </c>
      <c r="B133" s="27" t="s">
        <v>316</v>
      </c>
      <c r="C133" s="27" t="s">
        <v>273</v>
      </c>
      <c r="D133" s="27" t="s">
        <v>320</v>
      </c>
      <c r="E133" s="27"/>
      <c r="F133" s="27" t="s">
        <v>318</v>
      </c>
      <c r="G133" s="27"/>
      <c r="H133" s="27">
        <v>19</v>
      </c>
      <c r="I133" s="27"/>
    </row>
    <row r="134">
      <c r="A134" s="125" t="s">
        <v>272</v>
      </c>
      <c r="B134" s="27" t="s">
        <v>316</v>
      </c>
      <c r="C134" s="27" t="s">
        <v>273</v>
      </c>
      <c r="D134" s="27" t="s">
        <v>321</v>
      </c>
      <c r="E134" s="27">
        <v>0.75</v>
      </c>
      <c r="F134" s="27"/>
      <c r="G134" s="27" t="s">
        <v>322</v>
      </c>
      <c r="H134" s="27">
        <v>19</v>
      </c>
      <c r="I134" s="27"/>
    </row>
    <row r="135">
      <c r="A135" s="125" t="s">
        <v>272</v>
      </c>
      <c r="B135" s="27" t="s">
        <v>316</v>
      </c>
      <c r="C135" s="27" t="s">
        <v>273</v>
      </c>
      <c r="D135" s="27" t="s">
        <v>323</v>
      </c>
      <c r="E135" s="27">
        <v>0.85</v>
      </c>
      <c r="F135" s="27"/>
      <c r="G135" s="27" t="s">
        <v>322</v>
      </c>
      <c r="H135" s="27">
        <v>19</v>
      </c>
      <c r="I135" s="27"/>
    </row>
    <row r="136">
      <c r="A136" s="125" t="s">
        <v>272</v>
      </c>
      <c r="B136" s="27" t="s">
        <v>316</v>
      </c>
      <c r="C136" s="27" t="s">
        <v>273</v>
      </c>
      <c r="D136" s="27" t="s">
        <v>324</v>
      </c>
      <c r="E136" s="27">
        <v>95</v>
      </c>
      <c r="F136" s="27"/>
      <c r="G136" s="27" t="s">
        <v>295</v>
      </c>
      <c r="H136" s="27">
        <v>19</v>
      </c>
      <c r="I136" s="27"/>
    </row>
    <row r="137">
      <c r="A137" s="125" t="s">
        <v>272</v>
      </c>
      <c r="B137" s="27" t="s">
        <v>316</v>
      </c>
      <c r="C137" s="27" t="s">
        <v>273</v>
      </c>
      <c r="D137" s="27" t="s">
        <v>325</v>
      </c>
      <c r="E137" s="27"/>
      <c r="F137" s="27" t="s">
        <v>326</v>
      </c>
      <c r="G137" s="27"/>
      <c r="H137" s="27">
        <v>19</v>
      </c>
      <c r="I137" s="27"/>
    </row>
    <row r="138">
      <c r="A138" s="125" t="s">
        <v>274</v>
      </c>
      <c r="B138" s="27" t="s">
        <v>316</v>
      </c>
      <c r="C138" s="27" t="s">
        <v>275</v>
      </c>
      <c r="D138" s="27" t="s">
        <v>317</v>
      </c>
      <c r="E138" s="27">
        <v>10</v>
      </c>
      <c r="F138" s="27"/>
      <c r="G138" s="27" t="s">
        <v>318</v>
      </c>
      <c r="H138" s="27">
        <v>19</v>
      </c>
      <c r="I138" s="27" t="s">
        <v>319</v>
      </c>
    </row>
    <row r="139">
      <c r="A139" s="125" t="s">
        <v>274</v>
      </c>
      <c r="B139" s="27" t="s">
        <v>316</v>
      </c>
      <c r="C139" s="27" t="s">
        <v>275</v>
      </c>
      <c r="D139" s="27" t="s">
        <v>320</v>
      </c>
      <c r="E139" s="27"/>
      <c r="F139" s="27" t="s">
        <v>318</v>
      </c>
      <c r="G139" s="27"/>
      <c r="H139" s="27">
        <v>19</v>
      </c>
      <c r="I139" s="27"/>
    </row>
    <row r="140">
      <c r="A140" s="125" t="s">
        <v>274</v>
      </c>
      <c r="B140" s="27" t="s">
        <v>316</v>
      </c>
      <c r="C140" s="27" t="s">
        <v>275</v>
      </c>
      <c r="D140" s="27" t="s">
        <v>321</v>
      </c>
      <c r="E140" s="27">
        <v>0.75</v>
      </c>
      <c r="F140" s="27"/>
      <c r="G140" s="27" t="s">
        <v>322</v>
      </c>
      <c r="H140" s="27">
        <v>19</v>
      </c>
      <c r="I140" s="27"/>
    </row>
    <row r="141">
      <c r="A141" s="125" t="s">
        <v>274</v>
      </c>
      <c r="B141" s="27" t="s">
        <v>316</v>
      </c>
      <c r="C141" s="27" t="s">
        <v>275</v>
      </c>
      <c r="D141" s="27" t="s">
        <v>323</v>
      </c>
      <c r="E141" s="27">
        <v>0.85</v>
      </c>
      <c r="F141" s="27"/>
      <c r="G141" s="27" t="s">
        <v>322</v>
      </c>
      <c r="H141" s="27">
        <v>19</v>
      </c>
      <c r="I141" s="27"/>
    </row>
    <row r="142">
      <c r="A142" s="125" t="s">
        <v>274</v>
      </c>
      <c r="B142" s="27" t="s">
        <v>316</v>
      </c>
      <c r="C142" s="27" t="s">
        <v>275</v>
      </c>
      <c r="D142" s="27" t="s">
        <v>324</v>
      </c>
      <c r="E142" s="27">
        <v>95</v>
      </c>
      <c r="F142" s="27"/>
      <c r="G142" s="27" t="s">
        <v>295</v>
      </c>
      <c r="H142" s="27">
        <v>19</v>
      </c>
      <c r="I142" s="27"/>
    </row>
    <row r="143">
      <c r="A143" s="125" t="s">
        <v>274</v>
      </c>
      <c r="B143" s="27" t="s">
        <v>316</v>
      </c>
      <c r="C143" s="27" t="s">
        <v>275</v>
      </c>
      <c r="D143" s="27" t="s">
        <v>325</v>
      </c>
      <c r="E143" s="27"/>
      <c r="F143" s="27" t="s">
        <v>326</v>
      </c>
      <c r="G143" s="27"/>
      <c r="H143" s="27">
        <v>19</v>
      </c>
      <c r="I143" s="27"/>
    </row>
    <row r="144">
      <c r="A144" s="125" t="s">
        <v>276</v>
      </c>
      <c r="B144" s="27" t="s">
        <v>316</v>
      </c>
      <c r="C144" s="27" t="s">
        <v>277</v>
      </c>
      <c r="D144" s="27" t="s">
        <v>317</v>
      </c>
      <c r="E144" s="27">
        <v>20</v>
      </c>
      <c r="F144" s="27"/>
      <c r="G144" s="27" t="s">
        <v>318</v>
      </c>
      <c r="H144" s="27">
        <v>19</v>
      </c>
      <c r="I144" s="27" t="s">
        <v>319</v>
      </c>
    </row>
    <row r="145">
      <c r="A145" s="125" t="s">
        <v>276</v>
      </c>
      <c r="B145" s="27" t="s">
        <v>316</v>
      </c>
      <c r="C145" s="27" t="s">
        <v>277</v>
      </c>
      <c r="D145" s="27" t="s">
        <v>320</v>
      </c>
      <c r="E145" s="27"/>
      <c r="F145" s="27" t="s">
        <v>318</v>
      </c>
      <c r="G145" s="27"/>
      <c r="H145" s="27">
        <v>19</v>
      </c>
      <c r="I145" s="27"/>
    </row>
    <row r="146">
      <c r="A146" s="125" t="s">
        <v>276</v>
      </c>
      <c r="B146" s="27" t="s">
        <v>316</v>
      </c>
      <c r="C146" s="27" t="s">
        <v>277</v>
      </c>
      <c r="D146" s="27" t="s">
        <v>321</v>
      </c>
      <c r="E146" s="27">
        <v>0.75</v>
      </c>
      <c r="F146" s="27"/>
      <c r="G146" s="27" t="s">
        <v>322</v>
      </c>
      <c r="H146" s="27">
        <v>19</v>
      </c>
      <c r="I146" s="27"/>
    </row>
    <row r="147">
      <c r="A147" s="125" t="s">
        <v>276</v>
      </c>
      <c r="B147" s="27" t="s">
        <v>316</v>
      </c>
      <c r="C147" s="27" t="s">
        <v>277</v>
      </c>
      <c r="D147" s="27" t="s">
        <v>323</v>
      </c>
      <c r="E147" s="27">
        <v>0.85</v>
      </c>
      <c r="F147" s="27"/>
      <c r="G147" s="27" t="s">
        <v>322</v>
      </c>
      <c r="H147" s="27">
        <v>19</v>
      </c>
      <c r="I147" s="27"/>
    </row>
    <row r="148">
      <c r="A148" s="125" t="s">
        <v>276</v>
      </c>
      <c r="B148" s="27" t="s">
        <v>316</v>
      </c>
      <c r="C148" s="27" t="s">
        <v>277</v>
      </c>
      <c r="D148" s="27" t="s">
        <v>324</v>
      </c>
      <c r="E148" s="27">
        <v>188</v>
      </c>
      <c r="F148" s="27"/>
      <c r="G148" s="27" t="s">
        <v>295</v>
      </c>
      <c r="H148" s="27">
        <v>19</v>
      </c>
      <c r="I148" s="27"/>
    </row>
    <row r="149">
      <c r="A149" s="125" t="s">
        <v>276</v>
      </c>
      <c r="B149" s="27" t="s">
        <v>316</v>
      </c>
      <c r="C149" s="27" t="s">
        <v>277</v>
      </c>
      <c r="D149" s="27" t="s">
        <v>325</v>
      </c>
      <c r="E149" s="27"/>
      <c r="F149" s="27" t="s">
        <v>326</v>
      </c>
      <c r="G149" s="27"/>
      <c r="H149" s="27">
        <v>19</v>
      </c>
      <c r="I149" s="27"/>
    </row>
    <row r="150">
      <c r="A150" s="125" t="s">
        <v>278</v>
      </c>
      <c r="B150" s="27" t="s">
        <v>316</v>
      </c>
      <c r="C150" s="27" t="s">
        <v>279</v>
      </c>
      <c r="D150" s="27" t="s">
        <v>317</v>
      </c>
      <c r="E150" s="27">
        <v>40</v>
      </c>
      <c r="F150" s="27"/>
      <c r="G150" s="27" t="s">
        <v>318</v>
      </c>
      <c r="H150" s="27">
        <v>19</v>
      </c>
      <c r="I150" s="27" t="s">
        <v>319</v>
      </c>
    </row>
    <row r="151">
      <c r="A151" s="125" t="s">
        <v>278</v>
      </c>
      <c r="B151" s="27" t="s">
        <v>316</v>
      </c>
      <c r="C151" s="27" t="s">
        <v>279</v>
      </c>
      <c r="D151" s="27" t="s">
        <v>320</v>
      </c>
      <c r="E151" s="27"/>
      <c r="F151" s="27" t="s">
        <v>318</v>
      </c>
      <c r="G151" s="27"/>
      <c r="H151" s="27">
        <v>19</v>
      </c>
      <c r="I151" s="27"/>
    </row>
    <row r="152">
      <c r="A152" s="125" t="s">
        <v>278</v>
      </c>
      <c r="B152" s="27" t="s">
        <v>316</v>
      </c>
      <c r="C152" s="27" t="s">
        <v>279</v>
      </c>
      <c r="D152" s="27" t="s">
        <v>321</v>
      </c>
      <c r="E152" s="27">
        <v>0.75</v>
      </c>
      <c r="F152" s="27"/>
      <c r="G152" s="27" t="s">
        <v>322</v>
      </c>
      <c r="H152" s="27">
        <v>19</v>
      </c>
      <c r="I152" s="27"/>
    </row>
    <row r="153">
      <c r="A153" s="125" t="s">
        <v>278</v>
      </c>
      <c r="B153" s="27" t="s">
        <v>316</v>
      </c>
      <c r="C153" s="27" t="s">
        <v>279</v>
      </c>
      <c r="D153" s="27" t="s">
        <v>323</v>
      </c>
      <c r="E153" s="27">
        <v>0.85</v>
      </c>
      <c r="F153" s="27"/>
      <c r="G153" s="27" t="s">
        <v>322</v>
      </c>
      <c r="H153" s="27">
        <v>19</v>
      </c>
      <c r="I153" s="27"/>
    </row>
    <row r="154">
      <c r="A154" s="125" t="s">
        <v>278</v>
      </c>
      <c r="B154" s="27" t="s">
        <v>316</v>
      </c>
      <c r="C154" s="27" t="s">
        <v>279</v>
      </c>
      <c r="D154" s="27" t="s">
        <v>324</v>
      </c>
      <c r="E154" s="27">
        <v>380</v>
      </c>
      <c r="F154" s="27"/>
      <c r="G154" s="27" t="s">
        <v>295</v>
      </c>
      <c r="H154" s="27">
        <v>19</v>
      </c>
      <c r="I154" s="27"/>
    </row>
    <row r="155">
      <c r="A155" s="125" t="s">
        <v>278</v>
      </c>
      <c r="B155" s="27" t="s">
        <v>316</v>
      </c>
      <c r="C155" s="27" t="s">
        <v>279</v>
      </c>
      <c r="D155" s="27" t="s">
        <v>325</v>
      </c>
      <c r="E155" s="27"/>
      <c r="F155" s="27" t="s">
        <v>326</v>
      </c>
      <c r="G155" s="27"/>
      <c r="H155" s="27">
        <v>19</v>
      </c>
      <c r="I155" s="27"/>
    </row>
    <row r="156">
      <c r="A156" s="125" t="s">
        <v>280</v>
      </c>
      <c r="B156" s="27" t="s">
        <v>327</v>
      </c>
      <c r="C156" s="27" t="s">
        <v>236</v>
      </c>
      <c r="D156" s="27" t="s">
        <v>328</v>
      </c>
      <c r="E156" s="27">
        <v>180</v>
      </c>
      <c r="F156" s="27"/>
      <c r="G156" s="27" t="s">
        <v>162</v>
      </c>
      <c r="H156" s="27">
        <v>20</v>
      </c>
      <c r="I156" s="27"/>
    </row>
    <row r="157">
      <c r="A157" s="125" t="s">
        <v>280</v>
      </c>
      <c r="B157" s="27" t="s">
        <v>327</v>
      </c>
      <c r="C157" s="27" t="s">
        <v>236</v>
      </c>
      <c r="D157" s="27" t="s">
        <v>329</v>
      </c>
      <c r="E157" s="27"/>
      <c r="F157" s="27" t="s">
        <v>330</v>
      </c>
      <c r="G157" s="27"/>
      <c r="H157" s="27">
        <v>20</v>
      </c>
      <c r="I157" s="27"/>
    </row>
    <row r="158">
      <c r="A158" s="125" t="s">
        <v>280</v>
      </c>
      <c r="B158" s="27" t="s">
        <v>327</v>
      </c>
      <c r="C158" s="27" t="s">
        <v>236</v>
      </c>
      <c r="D158" s="27" t="s">
        <v>331</v>
      </c>
      <c r="E158" s="27">
        <v>-196</v>
      </c>
      <c r="F158" s="27"/>
      <c r="G158" s="27" t="s">
        <v>332</v>
      </c>
      <c r="H158" s="27">
        <v>20</v>
      </c>
      <c r="I158" s="27"/>
    </row>
    <row r="159">
      <c r="A159" s="125" t="s">
        <v>280</v>
      </c>
      <c r="B159" s="27" t="s">
        <v>327</v>
      </c>
      <c r="C159" s="27" t="s">
        <v>236</v>
      </c>
      <c r="D159" s="27" t="s">
        <v>333</v>
      </c>
      <c r="E159" s="27">
        <v>0</v>
      </c>
      <c r="F159" s="27"/>
      <c r="G159" s="27" t="s">
        <v>332</v>
      </c>
      <c r="H159" s="27">
        <v>20</v>
      </c>
      <c r="I159" s="27"/>
    </row>
    <row r="160">
      <c r="A160" s="125" t="s">
        <v>280</v>
      </c>
      <c r="B160" s="27" t="s">
        <v>327</v>
      </c>
      <c r="C160" s="27" t="s">
        <v>236</v>
      </c>
      <c r="D160" s="27" t="s">
        <v>334</v>
      </c>
      <c r="E160" s="27"/>
      <c r="F160" s="27" t="s">
        <v>335</v>
      </c>
      <c r="G160" s="27"/>
      <c r="H160" s="27">
        <v>20</v>
      </c>
      <c r="I160" s="27"/>
    </row>
    <row r="161">
      <c r="A161" s="125" t="s">
        <v>280</v>
      </c>
      <c r="B161" s="27" t="s">
        <v>327</v>
      </c>
      <c r="C161" s="27" t="s">
        <v>236</v>
      </c>
      <c r="D161" s="27" t="s">
        <v>336</v>
      </c>
      <c r="E161" s="27"/>
      <c r="F161" s="27" t="s">
        <v>337</v>
      </c>
      <c r="G161" s="27"/>
      <c r="H161" s="27">
        <v>20</v>
      </c>
      <c r="I161" s="27"/>
    </row>
    <row r="162">
      <c r="A162" s="125" t="s">
        <v>282</v>
      </c>
      <c r="B162" s="27" t="s">
        <v>327</v>
      </c>
      <c r="C162" s="27" t="s">
        <v>240</v>
      </c>
      <c r="D162" s="27" t="s">
        <v>328</v>
      </c>
      <c r="E162" s="27">
        <v>180</v>
      </c>
      <c r="F162" s="27"/>
      <c r="G162" s="27" t="s">
        <v>162</v>
      </c>
      <c r="H162" s="27">
        <v>20</v>
      </c>
      <c r="I162" s="27"/>
    </row>
    <row r="163">
      <c r="A163" s="125" t="s">
        <v>282</v>
      </c>
      <c r="B163" s="27" t="s">
        <v>327</v>
      </c>
      <c r="C163" s="27" t="s">
        <v>240</v>
      </c>
      <c r="D163" s="27" t="s">
        <v>329</v>
      </c>
      <c r="E163" s="27"/>
      <c r="F163" s="27" t="s">
        <v>330</v>
      </c>
      <c r="G163" s="27"/>
      <c r="H163" s="27">
        <v>20</v>
      </c>
      <c r="I163" s="27"/>
    </row>
    <row r="164">
      <c r="A164" s="125" t="s">
        <v>282</v>
      </c>
      <c r="B164" s="27" t="s">
        <v>327</v>
      </c>
      <c r="C164" s="27" t="s">
        <v>240</v>
      </c>
      <c r="D164" s="27" t="s">
        <v>331</v>
      </c>
      <c r="E164" s="27">
        <v>-196</v>
      </c>
      <c r="F164" s="27"/>
      <c r="G164" s="27" t="s">
        <v>332</v>
      </c>
      <c r="H164" s="27">
        <v>20</v>
      </c>
      <c r="I164" s="27"/>
    </row>
    <row r="165">
      <c r="A165" s="125" t="s">
        <v>282</v>
      </c>
      <c r="B165" s="27" t="s">
        <v>327</v>
      </c>
      <c r="C165" s="27" t="s">
        <v>240</v>
      </c>
      <c r="D165" s="27" t="s">
        <v>333</v>
      </c>
      <c r="E165" s="27">
        <v>0</v>
      </c>
      <c r="F165" s="27"/>
      <c r="G165" s="27" t="s">
        <v>332</v>
      </c>
      <c r="H165" s="27">
        <v>20</v>
      </c>
      <c r="I165" s="27"/>
    </row>
    <row r="166">
      <c r="A166" s="125" t="s">
        <v>282</v>
      </c>
      <c r="B166" s="27" t="s">
        <v>327</v>
      </c>
      <c r="C166" s="27" t="s">
        <v>240</v>
      </c>
      <c r="D166" s="27" t="s">
        <v>334</v>
      </c>
      <c r="E166" s="27"/>
      <c r="F166" s="27" t="s">
        <v>335</v>
      </c>
      <c r="G166" s="27"/>
      <c r="H166" s="27">
        <v>20</v>
      </c>
      <c r="I166" s="27"/>
    </row>
    <row r="167">
      <c r="A167" s="125" t="s">
        <v>282</v>
      </c>
      <c r="B167" s="27" t="s">
        <v>327</v>
      </c>
      <c r="C167" s="27" t="s">
        <v>240</v>
      </c>
      <c r="D167" s="27" t="s">
        <v>336</v>
      </c>
      <c r="E167" s="27"/>
      <c r="F167" s="27" t="s">
        <v>337</v>
      </c>
      <c r="G167" s="27"/>
      <c r="H167" s="27">
        <v>20</v>
      </c>
      <c r="I167" s="27"/>
    </row>
    <row r="168">
      <c r="A168" s="125" t="s">
        <v>283</v>
      </c>
      <c r="B168" s="27" t="s">
        <v>327</v>
      </c>
      <c r="C168" s="27" t="s">
        <v>284</v>
      </c>
      <c r="D168" s="27" t="s">
        <v>328</v>
      </c>
      <c r="E168" s="27">
        <v>180</v>
      </c>
      <c r="F168" s="27"/>
      <c r="G168" s="27" t="s">
        <v>162</v>
      </c>
      <c r="H168" s="27">
        <v>20</v>
      </c>
      <c r="I168" s="27"/>
    </row>
    <row r="169">
      <c r="A169" s="125" t="s">
        <v>283</v>
      </c>
      <c r="B169" s="27" t="s">
        <v>327</v>
      </c>
      <c r="C169" s="27" t="s">
        <v>284</v>
      </c>
      <c r="D169" s="27" t="s">
        <v>329</v>
      </c>
      <c r="E169" s="27"/>
      <c r="F169" s="27" t="s">
        <v>330</v>
      </c>
      <c r="G169" s="27"/>
      <c r="H169" s="27">
        <v>20</v>
      </c>
      <c r="I169" s="27"/>
    </row>
    <row r="170">
      <c r="A170" s="125" t="s">
        <v>283</v>
      </c>
      <c r="B170" s="27" t="s">
        <v>327</v>
      </c>
      <c r="C170" s="27" t="s">
        <v>284</v>
      </c>
      <c r="D170" s="27" t="s">
        <v>331</v>
      </c>
      <c r="E170" s="27">
        <v>-196</v>
      </c>
      <c r="F170" s="27"/>
      <c r="G170" s="27" t="s">
        <v>332</v>
      </c>
      <c r="H170" s="27">
        <v>20</v>
      </c>
      <c r="I170" s="27"/>
    </row>
    <row r="171">
      <c r="A171" s="125" t="s">
        <v>283</v>
      </c>
      <c r="B171" s="27" t="s">
        <v>327</v>
      </c>
      <c r="C171" s="27" t="s">
        <v>284</v>
      </c>
      <c r="D171" s="27" t="s">
        <v>333</v>
      </c>
      <c r="E171" s="27">
        <v>0</v>
      </c>
      <c r="F171" s="27"/>
      <c r="G171" s="27" t="s">
        <v>332</v>
      </c>
      <c r="H171" s="27">
        <v>20</v>
      </c>
      <c r="I171" s="27"/>
    </row>
    <row r="172">
      <c r="A172" s="125" t="s">
        <v>283</v>
      </c>
      <c r="B172" s="27" t="s">
        <v>327</v>
      </c>
      <c r="C172" s="27" t="s">
        <v>284</v>
      </c>
      <c r="D172" s="27" t="s">
        <v>334</v>
      </c>
      <c r="E172" s="27"/>
      <c r="F172" s="27" t="s">
        <v>335</v>
      </c>
      <c r="G172" s="27"/>
      <c r="H172" s="27">
        <v>20</v>
      </c>
      <c r="I172" s="27"/>
    </row>
    <row r="173">
      <c r="A173" s="125" t="s">
        <v>283</v>
      </c>
      <c r="B173" s="27" t="s">
        <v>327</v>
      </c>
      <c r="C173" s="27" t="s">
        <v>284</v>
      </c>
      <c r="D173" s="27" t="s">
        <v>336</v>
      </c>
      <c r="E173" s="27"/>
      <c r="F173" s="27" t="s">
        <v>337</v>
      </c>
      <c r="G173" s="27"/>
      <c r="H173" s="27">
        <v>20</v>
      </c>
      <c r="I173" s="27"/>
    </row>
  </sheetData>
  <pageMargins left="0.7" right="0.7" top="0.75" bottom="0.75" header="0.3" footer="0.3"/>
  <tableParts count="1">
    <tablePart xmlns:r="http://schemas.openxmlformats.org/officeDocument/2006/relationships" r:id="Rd66af03a214b4a99"/>
  </tableParts>
</worksheet>
</file>

<file path=xl/worksheets/sheet5.xml><?xml version="1.0" encoding="utf-8"?>
<worksheet xmlns="http://schemas.openxmlformats.org/spreadsheetml/2006/main">
  <cols>
    <col min="1" max="1" width="24.00" bestFit="1" customWidth="1"/>
    <col min="2" max="2" width="14.00" bestFit="1" customWidth="1"/>
    <col min="3" max="3" width="30.00" bestFit="1" customWidth="1"/>
    <col min="4" max="4" width="40.00" bestFit="1" customWidth="1"/>
  </cols>
  <sheetData>
    <row r="1">
      <c r="A1" s="18" t="s">
        <v>31</v>
      </c>
      <c r="B1" s="18" t="s">
        <v>32</v>
      </c>
      <c r="C1" s="18" t="s">
        <v>338</v>
      </c>
      <c r="D1" s="18" t="s">
        <v>290</v>
      </c>
    </row>
    <row r="2">
      <c r="A2" s="125" t="s">
        <v>40</v>
      </c>
      <c r="B2" s="0" t="s">
        <v>339</v>
      </c>
      <c r="C2" s="0" t="s">
        <v>340</v>
      </c>
      <c r="D2" s="0" t="s">
        <v>341</v>
      </c>
    </row>
    <row r="3">
      <c r="A3" s="125" t="s">
        <v>40</v>
      </c>
      <c r="B3" s="0" t="s">
        <v>339</v>
      </c>
      <c r="C3" s="0" t="s">
        <v>342</v>
      </c>
      <c r="D3" s="0" t="s">
        <v>341</v>
      </c>
    </row>
    <row r="4">
      <c r="A4" s="125" t="s">
        <v>40</v>
      </c>
      <c r="B4" s="0" t="s">
        <v>339</v>
      </c>
      <c r="C4" s="0" t="s">
        <v>343</v>
      </c>
      <c r="D4" s="0" t="s">
        <v>341</v>
      </c>
    </row>
    <row r="5">
      <c r="A5" s="125" t="s">
        <v>40</v>
      </c>
      <c r="B5" s="0" t="s">
        <v>339</v>
      </c>
      <c r="C5" s="0" t="s">
        <v>344</v>
      </c>
      <c r="D5" s="0" t="s">
        <v>341</v>
      </c>
    </row>
    <row r="6">
      <c r="A6" s="125" t="s">
        <v>40</v>
      </c>
      <c r="B6" s="0" t="s">
        <v>339</v>
      </c>
      <c r="C6" s="0" t="s">
        <v>345</v>
      </c>
      <c r="D6" s="0" t="s">
        <v>341</v>
      </c>
    </row>
    <row r="7">
      <c r="A7" s="125" t="s">
        <v>49</v>
      </c>
      <c r="B7" s="0" t="s">
        <v>346</v>
      </c>
      <c r="C7" s="0" t="s">
        <v>347</v>
      </c>
      <c r="D7" s="0" t="s">
        <v>341</v>
      </c>
    </row>
    <row r="8">
      <c r="A8" s="125" t="s">
        <v>49</v>
      </c>
      <c r="B8" s="0" t="s">
        <v>346</v>
      </c>
      <c r="C8" s="0" t="s">
        <v>348</v>
      </c>
      <c r="D8" s="0" t="s">
        <v>341</v>
      </c>
    </row>
    <row r="9">
      <c r="A9" s="125" t="s">
        <v>49</v>
      </c>
      <c r="B9" s="0" t="s">
        <v>346</v>
      </c>
      <c r="C9" s="0" t="s">
        <v>349</v>
      </c>
      <c r="D9" s="0" t="s">
        <v>341</v>
      </c>
    </row>
    <row r="10">
      <c r="A10" s="125" t="s">
        <v>49</v>
      </c>
      <c r="B10" s="0" t="s">
        <v>346</v>
      </c>
      <c r="C10" s="0" t="s">
        <v>350</v>
      </c>
      <c r="D10" s="0" t="s">
        <v>341</v>
      </c>
    </row>
    <row r="11">
      <c r="A11" s="125" t="s">
        <v>49</v>
      </c>
      <c r="B11" s="0" t="s">
        <v>346</v>
      </c>
      <c r="C11" s="0" t="s">
        <v>351</v>
      </c>
      <c r="D11" s="0" t="s">
        <v>341</v>
      </c>
    </row>
    <row r="12">
      <c r="A12" s="125" t="s">
        <v>49</v>
      </c>
      <c r="B12" s="0" t="s">
        <v>346</v>
      </c>
      <c r="C12" s="0" t="s">
        <v>352</v>
      </c>
      <c r="D12" s="0" t="s">
        <v>341</v>
      </c>
    </row>
    <row r="13">
      <c r="A13" s="125" t="s">
        <v>49</v>
      </c>
      <c r="B13" s="0" t="s">
        <v>346</v>
      </c>
      <c r="C13" s="0" t="s">
        <v>353</v>
      </c>
      <c r="D13" s="0" t="s">
        <v>341</v>
      </c>
    </row>
    <row r="14">
      <c r="A14" s="125" t="s">
        <v>49</v>
      </c>
      <c r="B14" s="0" t="s">
        <v>346</v>
      </c>
      <c r="C14" s="0" t="s">
        <v>345</v>
      </c>
      <c r="D14" s="0" t="s">
        <v>341</v>
      </c>
    </row>
    <row r="15">
      <c r="A15" s="125" t="s">
        <v>58</v>
      </c>
      <c r="B15" s="0" t="s">
        <v>354</v>
      </c>
      <c r="C15" s="0" t="s">
        <v>355</v>
      </c>
      <c r="D15" s="0" t="s">
        <v>341</v>
      </c>
    </row>
    <row r="16">
      <c r="A16" s="125" t="s">
        <v>58</v>
      </c>
      <c r="B16" s="0" t="s">
        <v>354</v>
      </c>
      <c r="C16" s="0" t="s">
        <v>347</v>
      </c>
      <c r="D16" s="0" t="s">
        <v>341</v>
      </c>
    </row>
    <row r="17">
      <c r="A17" s="125" t="s">
        <v>58</v>
      </c>
      <c r="B17" s="0" t="s">
        <v>354</v>
      </c>
      <c r="C17" s="0" t="s">
        <v>348</v>
      </c>
      <c r="D17" s="0" t="s">
        <v>341</v>
      </c>
    </row>
    <row r="18">
      <c r="A18" s="125" t="s">
        <v>58</v>
      </c>
      <c r="B18" s="0" t="s">
        <v>354</v>
      </c>
      <c r="C18" s="0" t="s">
        <v>356</v>
      </c>
      <c r="D18" s="0" t="s">
        <v>341</v>
      </c>
    </row>
    <row r="19">
      <c r="A19" s="125" t="s">
        <v>58</v>
      </c>
      <c r="B19" s="0" t="s">
        <v>354</v>
      </c>
      <c r="C19" s="0" t="s">
        <v>349</v>
      </c>
      <c r="D19" s="0" t="s">
        <v>341</v>
      </c>
    </row>
    <row r="20">
      <c r="A20" s="125" t="s">
        <v>58</v>
      </c>
      <c r="B20" s="0" t="s">
        <v>354</v>
      </c>
      <c r="C20" s="0" t="s">
        <v>352</v>
      </c>
      <c r="D20" s="0" t="s">
        <v>341</v>
      </c>
    </row>
    <row r="21">
      <c r="A21" s="125" t="s">
        <v>58</v>
      </c>
      <c r="B21" s="0" t="s">
        <v>354</v>
      </c>
      <c r="C21" s="0" t="s">
        <v>357</v>
      </c>
      <c r="D21" s="0" t="s">
        <v>341</v>
      </c>
    </row>
    <row r="22">
      <c r="A22" s="125" t="s">
        <v>67</v>
      </c>
      <c r="B22" s="0" t="s">
        <v>358</v>
      </c>
      <c r="C22" s="0" t="s">
        <v>355</v>
      </c>
      <c r="D22" s="0" t="s">
        <v>341</v>
      </c>
    </row>
    <row r="23">
      <c r="A23" s="125" t="s">
        <v>67</v>
      </c>
      <c r="B23" s="0" t="s">
        <v>358</v>
      </c>
      <c r="C23" s="0" t="s">
        <v>347</v>
      </c>
      <c r="D23" s="0" t="s">
        <v>341</v>
      </c>
    </row>
    <row r="24">
      <c r="A24" s="125" t="s">
        <v>67</v>
      </c>
      <c r="B24" s="0" t="s">
        <v>358</v>
      </c>
      <c r="C24" s="0" t="s">
        <v>348</v>
      </c>
      <c r="D24" s="0" t="s">
        <v>341</v>
      </c>
    </row>
    <row r="25">
      <c r="A25" s="125" t="s">
        <v>67</v>
      </c>
      <c r="B25" s="0" t="s">
        <v>358</v>
      </c>
      <c r="C25" s="0" t="s">
        <v>356</v>
      </c>
      <c r="D25" s="0" t="s">
        <v>341</v>
      </c>
    </row>
    <row r="26">
      <c r="A26" s="125" t="s">
        <v>67</v>
      </c>
      <c r="B26" s="0" t="s">
        <v>358</v>
      </c>
      <c r="C26" s="0" t="s">
        <v>349</v>
      </c>
      <c r="D26" s="0" t="s">
        <v>341</v>
      </c>
    </row>
    <row r="27">
      <c r="A27" s="125" t="s">
        <v>67</v>
      </c>
      <c r="B27" s="0" t="s">
        <v>358</v>
      </c>
      <c r="C27" s="0" t="s">
        <v>359</v>
      </c>
      <c r="D27" s="0" t="s">
        <v>341</v>
      </c>
    </row>
    <row r="28">
      <c r="A28" s="125" t="s">
        <v>67</v>
      </c>
      <c r="B28" s="0" t="s">
        <v>358</v>
      </c>
      <c r="C28" s="0" t="s">
        <v>360</v>
      </c>
      <c r="D28" s="0" t="s">
        <v>341</v>
      </c>
    </row>
    <row r="29">
      <c r="A29" s="125" t="s">
        <v>67</v>
      </c>
      <c r="B29" s="0" t="s">
        <v>358</v>
      </c>
      <c r="C29" s="0" t="s">
        <v>361</v>
      </c>
      <c r="D29" s="0" t="s">
        <v>341</v>
      </c>
    </row>
    <row r="30">
      <c r="A30" s="125" t="s">
        <v>75</v>
      </c>
      <c r="B30" s="0" t="s">
        <v>362</v>
      </c>
      <c r="C30" s="0" t="s">
        <v>363</v>
      </c>
      <c r="D30" s="0" t="s">
        <v>341</v>
      </c>
    </row>
    <row r="31">
      <c r="A31" s="125" t="s">
        <v>75</v>
      </c>
      <c r="B31" s="0" t="s">
        <v>362</v>
      </c>
      <c r="C31" s="0" t="s">
        <v>364</v>
      </c>
      <c r="D31" s="0" t="s">
        <v>341</v>
      </c>
    </row>
    <row r="32">
      <c r="A32" s="125" t="s">
        <v>75</v>
      </c>
      <c r="B32" s="0" t="s">
        <v>362</v>
      </c>
      <c r="C32" s="0" t="s">
        <v>365</v>
      </c>
      <c r="D32" s="0" t="s">
        <v>341</v>
      </c>
    </row>
    <row r="33">
      <c r="A33" s="125" t="s">
        <v>75</v>
      </c>
      <c r="B33" s="0" t="s">
        <v>362</v>
      </c>
      <c r="C33" s="0" t="s">
        <v>347</v>
      </c>
      <c r="D33" s="0" t="s">
        <v>341</v>
      </c>
    </row>
    <row r="34">
      <c r="A34" s="125" t="s">
        <v>75</v>
      </c>
      <c r="B34" s="0" t="s">
        <v>362</v>
      </c>
      <c r="C34" s="0" t="s">
        <v>348</v>
      </c>
      <c r="D34" s="0" t="s">
        <v>341</v>
      </c>
    </row>
    <row r="35">
      <c r="A35" s="125" t="s">
        <v>75</v>
      </c>
      <c r="B35" s="0" t="s">
        <v>362</v>
      </c>
      <c r="C35" s="0" t="s">
        <v>366</v>
      </c>
      <c r="D35" s="0" t="s">
        <v>341</v>
      </c>
    </row>
    <row r="36">
      <c r="A36" s="125" t="s">
        <v>75</v>
      </c>
      <c r="B36" s="0" t="s">
        <v>362</v>
      </c>
      <c r="C36" s="0" t="s">
        <v>367</v>
      </c>
      <c r="D36" s="0" t="s">
        <v>341</v>
      </c>
    </row>
    <row r="37">
      <c r="A37" s="125" t="s">
        <v>75</v>
      </c>
      <c r="B37" s="0" t="s">
        <v>362</v>
      </c>
      <c r="C37" s="0" t="s">
        <v>351</v>
      </c>
      <c r="D37" s="0" t="s">
        <v>341</v>
      </c>
    </row>
    <row r="38">
      <c r="A38" s="125" t="s">
        <v>75</v>
      </c>
      <c r="B38" s="0" t="s">
        <v>362</v>
      </c>
      <c r="C38" s="0" t="s">
        <v>350</v>
      </c>
      <c r="D38" s="0" t="s">
        <v>341</v>
      </c>
    </row>
    <row r="39">
      <c r="A39" s="125" t="s">
        <v>75</v>
      </c>
      <c r="B39" s="0" t="s">
        <v>362</v>
      </c>
      <c r="C39" s="0" t="s">
        <v>368</v>
      </c>
      <c r="D39" s="0" t="s">
        <v>341</v>
      </c>
    </row>
    <row r="40">
      <c r="A40" s="125" t="s">
        <v>75</v>
      </c>
      <c r="B40" s="0" t="s">
        <v>362</v>
      </c>
      <c r="C40" s="0" t="s">
        <v>369</v>
      </c>
      <c r="D40" s="0" t="s">
        <v>341</v>
      </c>
    </row>
    <row r="41">
      <c r="A41" s="125" t="s">
        <v>75</v>
      </c>
      <c r="B41" s="0" t="s">
        <v>362</v>
      </c>
      <c r="C41" s="0" t="s">
        <v>359</v>
      </c>
      <c r="D41" s="0" t="s">
        <v>341</v>
      </c>
    </row>
    <row r="42">
      <c r="A42" s="125" t="s">
        <v>84</v>
      </c>
      <c r="B42" s="0" t="s">
        <v>370</v>
      </c>
      <c r="C42" s="0" t="s">
        <v>88</v>
      </c>
      <c r="D42" s="0" t="s">
        <v>341</v>
      </c>
    </row>
    <row r="43">
      <c r="A43" s="125" t="s">
        <v>84</v>
      </c>
      <c r="B43" s="0" t="s">
        <v>370</v>
      </c>
      <c r="C43" s="0" t="s">
        <v>371</v>
      </c>
      <c r="D43" s="0" t="s">
        <v>341</v>
      </c>
    </row>
    <row r="44">
      <c r="A44" s="125" t="s">
        <v>84</v>
      </c>
      <c r="B44" s="0" t="s">
        <v>370</v>
      </c>
      <c r="C44" s="0" t="s">
        <v>372</v>
      </c>
      <c r="D44" s="0" t="s">
        <v>341</v>
      </c>
    </row>
    <row r="45">
      <c r="A45" s="125" t="s">
        <v>84</v>
      </c>
      <c r="B45" s="0" t="s">
        <v>370</v>
      </c>
      <c r="C45" s="0" t="s">
        <v>373</v>
      </c>
      <c r="D45" s="0" t="s">
        <v>341</v>
      </c>
    </row>
    <row r="46">
      <c r="A46" s="125" t="s">
        <v>84</v>
      </c>
      <c r="B46" s="0" t="s">
        <v>370</v>
      </c>
      <c r="C46" s="0" t="s">
        <v>374</v>
      </c>
      <c r="D46" s="0" t="s">
        <v>341</v>
      </c>
    </row>
    <row r="47">
      <c r="A47" s="125" t="s">
        <v>84</v>
      </c>
      <c r="B47" s="0" t="s">
        <v>370</v>
      </c>
      <c r="C47" s="0" t="s">
        <v>375</v>
      </c>
      <c r="D47" s="0" t="s">
        <v>341</v>
      </c>
    </row>
    <row r="48">
      <c r="A48" s="125" t="s">
        <v>84</v>
      </c>
      <c r="B48" s="0" t="s">
        <v>370</v>
      </c>
      <c r="C48" s="0" t="s">
        <v>376</v>
      </c>
      <c r="D48" s="0" t="s">
        <v>341</v>
      </c>
    </row>
    <row r="49">
      <c r="A49" s="125" t="s">
        <v>84</v>
      </c>
      <c r="B49" s="0" t="s">
        <v>370</v>
      </c>
      <c r="C49" s="0" t="s">
        <v>377</v>
      </c>
      <c r="D49" s="0" t="s">
        <v>341</v>
      </c>
    </row>
    <row r="50">
      <c r="A50" s="125" t="s">
        <v>84</v>
      </c>
      <c r="B50" s="0" t="s">
        <v>370</v>
      </c>
      <c r="C50" s="0" t="s">
        <v>378</v>
      </c>
      <c r="D50" s="0" t="s">
        <v>341</v>
      </c>
    </row>
    <row r="51">
      <c r="A51" s="125" t="s">
        <v>93</v>
      </c>
      <c r="B51" s="0" t="s">
        <v>379</v>
      </c>
      <c r="C51" s="0" t="s">
        <v>353</v>
      </c>
      <c r="D51" s="0" t="s">
        <v>341</v>
      </c>
    </row>
    <row r="52">
      <c r="A52" s="125" t="s">
        <v>93</v>
      </c>
      <c r="B52" s="0" t="s">
        <v>379</v>
      </c>
      <c r="C52" s="0" t="s">
        <v>345</v>
      </c>
      <c r="D52" s="0" t="s">
        <v>341</v>
      </c>
    </row>
    <row r="53">
      <c r="A53" s="125" t="s">
        <v>93</v>
      </c>
      <c r="B53" s="0" t="s">
        <v>379</v>
      </c>
      <c r="C53" s="0" t="s">
        <v>347</v>
      </c>
      <c r="D53" s="0" t="s">
        <v>341</v>
      </c>
    </row>
    <row r="54">
      <c r="A54" s="125" t="s">
        <v>93</v>
      </c>
      <c r="B54" s="0" t="s">
        <v>379</v>
      </c>
      <c r="C54" s="0" t="s">
        <v>349</v>
      </c>
      <c r="D54" s="0" t="s">
        <v>341</v>
      </c>
    </row>
    <row r="55">
      <c r="A55" s="125" t="s">
        <v>93</v>
      </c>
      <c r="B55" s="0" t="s">
        <v>379</v>
      </c>
      <c r="C55" s="0" t="s">
        <v>361</v>
      </c>
      <c r="D55" s="0" t="s">
        <v>341</v>
      </c>
    </row>
    <row r="56">
      <c r="A56" s="125" t="s">
        <v>93</v>
      </c>
      <c r="B56" s="0" t="s">
        <v>379</v>
      </c>
      <c r="C56" s="0" t="s">
        <v>380</v>
      </c>
      <c r="D56" s="0" t="s">
        <v>341</v>
      </c>
    </row>
    <row r="57">
      <c r="A57" s="125" t="s">
        <v>93</v>
      </c>
      <c r="B57" s="0" t="s">
        <v>379</v>
      </c>
      <c r="C57" s="0" t="s">
        <v>381</v>
      </c>
      <c r="D57" s="0" t="s">
        <v>341</v>
      </c>
    </row>
    <row r="58">
      <c r="A58" s="125" t="s">
        <v>93</v>
      </c>
      <c r="B58" s="0" t="s">
        <v>379</v>
      </c>
      <c r="C58" s="0" t="s">
        <v>382</v>
      </c>
      <c r="D58" s="0" t="s">
        <v>341</v>
      </c>
    </row>
    <row r="59">
      <c r="A59" s="125" t="s">
        <v>102</v>
      </c>
      <c r="B59" s="0" t="s">
        <v>383</v>
      </c>
      <c r="C59" s="0" t="s">
        <v>384</v>
      </c>
      <c r="D59" s="0" t="s">
        <v>341</v>
      </c>
    </row>
    <row r="60">
      <c r="A60" s="125" t="s">
        <v>102</v>
      </c>
      <c r="B60" s="0" t="s">
        <v>383</v>
      </c>
      <c r="C60" s="0" t="s">
        <v>385</v>
      </c>
      <c r="D60" s="0" t="s">
        <v>341</v>
      </c>
    </row>
    <row r="61">
      <c r="A61" s="125" t="s">
        <v>102</v>
      </c>
      <c r="B61" s="0" t="s">
        <v>383</v>
      </c>
      <c r="C61" s="0" t="s">
        <v>357</v>
      </c>
      <c r="D61" s="0" t="s">
        <v>341</v>
      </c>
    </row>
    <row r="62">
      <c r="A62" s="125" t="s">
        <v>102</v>
      </c>
      <c r="B62" s="0" t="s">
        <v>383</v>
      </c>
      <c r="C62" s="0" t="s">
        <v>386</v>
      </c>
      <c r="D62" s="0" t="s">
        <v>341</v>
      </c>
    </row>
    <row r="63">
      <c r="A63" s="125" t="s">
        <v>102</v>
      </c>
      <c r="B63" s="0" t="s">
        <v>383</v>
      </c>
      <c r="C63" s="0" t="s">
        <v>387</v>
      </c>
      <c r="D63" s="0" t="s">
        <v>341</v>
      </c>
    </row>
    <row r="64">
      <c r="A64" s="125" t="s">
        <v>102</v>
      </c>
      <c r="B64" s="0" t="s">
        <v>383</v>
      </c>
      <c r="C64" s="0" t="s">
        <v>361</v>
      </c>
      <c r="D64" s="0" t="s">
        <v>341</v>
      </c>
    </row>
    <row r="65">
      <c r="A65" s="125" t="s">
        <v>102</v>
      </c>
      <c r="B65" s="0" t="s">
        <v>383</v>
      </c>
      <c r="C65" s="0" t="s">
        <v>388</v>
      </c>
      <c r="D65" s="0" t="s">
        <v>341</v>
      </c>
    </row>
    <row r="66">
      <c r="A66" s="125" t="s">
        <v>102</v>
      </c>
      <c r="B66" s="0" t="s">
        <v>383</v>
      </c>
      <c r="C66" s="0" t="s">
        <v>389</v>
      </c>
      <c r="D66" s="0" t="s">
        <v>341</v>
      </c>
    </row>
    <row r="67">
      <c r="A67" s="125" t="s">
        <v>102</v>
      </c>
      <c r="B67" s="0" t="s">
        <v>383</v>
      </c>
      <c r="C67" s="0" t="s">
        <v>360</v>
      </c>
      <c r="D67" s="0" t="s">
        <v>341</v>
      </c>
    </row>
    <row r="68">
      <c r="A68" s="125" t="s">
        <v>111</v>
      </c>
      <c r="B68" s="0" t="s">
        <v>346</v>
      </c>
      <c r="C68" s="0" t="s">
        <v>390</v>
      </c>
      <c r="D68" s="0" t="s">
        <v>341</v>
      </c>
    </row>
    <row r="69">
      <c r="A69" s="125" t="s">
        <v>111</v>
      </c>
      <c r="B69" s="0" t="s">
        <v>346</v>
      </c>
      <c r="C69" s="0" t="s">
        <v>372</v>
      </c>
      <c r="D69" s="0" t="s">
        <v>341</v>
      </c>
    </row>
    <row r="70">
      <c r="A70" s="125" t="s">
        <v>111</v>
      </c>
      <c r="B70" s="0" t="s">
        <v>346</v>
      </c>
      <c r="C70" s="0" t="s">
        <v>391</v>
      </c>
      <c r="D70" s="0" t="s">
        <v>341</v>
      </c>
    </row>
    <row r="71">
      <c r="A71" s="125" t="s">
        <v>111</v>
      </c>
      <c r="B71" s="0" t="s">
        <v>346</v>
      </c>
      <c r="C71" s="0" t="s">
        <v>392</v>
      </c>
      <c r="D71" s="0" t="s">
        <v>341</v>
      </c>
    </row>
    <row r="72">
      <c r="A72" s="125" t="s">
        <v>111</v>
      </c>
      <c r="B72" s="0" t="s">
        <v>346</v>
      </c>
      <c r="C72" s="0" t="s">
        <v>393</v>
      </c>
      <c r="D72" s="0" t="s">
        <v>341</v>
      </c>
    </row>
    <row r="73">
      <c r="A73" s="125" t="s">
        <v>111</v>
      </c>
      <c r="B73" s="0" t="s">
        <v>346</v>
      </c>
      <c r="C73" s="0" t="s">
        <v>347</v>
      </c>
      <c r="D73" s="0" t="s">
        <v>341</v>
      </c>
    </row>
    <row r="74">
      <c r="A74" s="125" t="s">
        <v>111</v>
      </c>
      <c r="B74" s="0" t="s">
        <v>346</v>
      </c>
      <c r="C74" s="0" t="s">
        <v>394</v>
      </c>
      <c r="D74" s="0" t="s">
        <v>341</v>
      </c>
    </row>
    <row r="75">
      <c r="A75" s="125" t="s">
        <v>119</v>
      </c>
      <c r="B75" s="0" t="s">
        <v>395</v>
      </c>
      <c r="C75" s="0" t="s">
        <v>123</v>
      </c>
      <c r="D75" s="0" t="s">
        <v>341</v>
      </c>
    </row>
    <row r="76">
      <c r="A76" s="125" t="s">
        <v>119</v>
      </c>
      <c r="B76" s="0" t="s">
        <v>395</v>
      </c>
      <c r="C76" s="0" t="s">
        <v>396</v>
      </c>
      <c r="D76" s="0" t="s">
        <v>341</v>
      </c>
    </row>
    <row r="77">
      <c r="A77" s="125" t="s">
        <v>119</v>
      </c>
      <c r="B77" s="0" t="s">
        <v>395</v>
      </c>
      <c r="C77" s="0" t="s">
        <v>397</v>
      </c>
      <c r="D77" s="0" t="s">
        <v>341</v>
      </c>
    </row>
    <row r="78">
      <c r="A78" s="125" t="s">
        <v>119</v>
      </c>
      <c r="B78" s="0" t="s">
        <v>395</v>
      </c>
      <c r="C78" s="0" t="s">
        <v>398</v>
      </c>
      <c r="D78" s="0" t="s">
        <v>341</v>
      </c>
    </row>
    <row r="79">
      <c r="A79" s="125" t="s">
        <v>119</v>
      </c>
      <c r="B79" s="0" t="s">
        <v>395</v>
      </c>
      <c r="C79" s="0" t="s">
        <v>388</v>
      </c>
      <c r="D79" s="0" t="s">
        <v>341</v>
      </c>
    </row>
    <row r="80">
      <c r="A80" s="125" t="s">
        <v>119</v>
      </c>
      <c r="B80" s="0" t="s">
        <v>395</v>
      </c>
      <c r="C80" s="0" t="s">
        <v>359</v>
      </c>
      <c r="D80" s="0" t="s">
        <v>341</v>
      </c>
    </row>
    <row r="81">
      <c r="A81" s="125" t="s">
        <v>128</v>
      </c>
      <c r="B81" s="0" t="s">
        <v>346</v>
      </c>
      <c r="C81" s="0" t="s">
        <v>399</v>
      </c>
      <c r="D81" s="0" t="s">
        <v>341</v>
      </c>
    </row>
    <row r="82">
      <c r="A82" s="125" t="s">
        <v>128</v>
      </c>
      <c r="B82" s="0" t="s">
        <v>346</v>
      </c>
      <c r="C82" s="0" t="s">
        <v>400</v>
      </c>
      <c r="D82" s="0" t="s">
        <v>341</v>
      </c>
    </row>
    <row r="83">
      <c r="A83" s="125" t="s">
        <v>128</v>
      </c>
      <c r="B83" s="0" t="s">
        <v>346</v>
      </c>
      <c r="C83" s="0" t="s">
        <v>401</v>
      </c>
      <c r="D83" s="0" t="s">
        <v>341</v>
      </c>
    </row>
    <row r="84">
      <c r="A84" s="125" t="s">
        <v>128</v>
      </c>
      <c r="B84" s="0" t="s">
        <v>346</v>
      </c>
      <c r="C84" s="0" t="s">
        <v>402</v>
      </c>
      <c r="D84" s="0" t="s">
        <v>341</v>
      </c>
    </row>
    <row r="85">
      <c r="A85" s="125" t="s">
        <v>128</v>
      </c>
      <c r="B85" s="0" t="s">
        <v>346</v>
      </c>
      <c r="C85" s="0" t="s">
        <v>403</v>
      </c>
      <c r="D85" s="0" t="s">
        <v>341</v>
      </c>
    </row>
    <row r="86">
      <c r="A86" s="125" t="s">
        <v>128</v>
      </c>
      <c r="B86" s="0" t="s">
        <v>346</v>
      </c>
      <c r="C86" s="0" t="s">
        <v>404</v>
      </c>
      <c r="D86" s="0" t="s">
        <v>341</v>
      </c>
    </row>
    <row r="87">
      <c r="A87" s="125" t="s">
        <v>128</v>
      </c>
      <c r="B87" s="0" t="s">
        <v>346</v>
      </c>
      <c r="C87" s="0" t="s">
        <v>405</v>
      </c>
      <c r="D87" s="0" t="s">
        <v>341</v>
      </c>
    </row>
    <row r="88">
      <c r="A88" s="125" t="s">
        <v>128</v>
      </c>
      <c r="B88" s="0" t="s">
        <v>346</v>
      </c>
      <c r="C88" s="0" t="s">
        <v>406</v>
      </c>
      <c r="D88" s="0" t="s">
        <v>341</v>
      </c>
    </row>
    <row r="89">
      <c r="A89" s="125" t="s">
        <v>128</v>
      </c>
      <c r="B89" s="0" t="s">
        <v>346</v>
      </c>
      <c r="C89" s="0" t="s">
        <v>407</v>
      </c>
      <c r="D89" s="0" t="s">
        <v>341</v>
      </c>
    </row>
    <row r="90">
      <c r="A90" s="125" t="s">
        <v>811</v>
      </c>
      <c r="B90" s="0" t="s">
        <v>812</v>
      </c>
      <c r="C90" s="0" t="s">
        <v>353</v>
      </c>
      <c r="D90" s="0" t="s">
        <v>341</v>
      </c>
    </row>
    <row r="91">
      <c r="A91" s="125" t="s">
        <v>811</v>
      </c>
      <c r="B91" s="0" t="s">
        <v>812</v>
      </c>
      <c r="C91" s="0" t="s">
        <v>345</v>
      </c>
      <c r="D91" s="0" t="s">
        <v>341</v>
      </c>
    </row>
    <row r="92">
      <c r="A92" s="125" t="s">
        <v>811</v>
      </c>
      <c r="B92" s="0" t="s">
        <v>812</v>
      </c>
      <c r="C92" s="0" t="s">
        <v>347</v>
      </c>
      <c r="D92" s="0" t="s">
        <v>341</v>
      </c>
    </row>
    <row r="93">
      <c r="A93" s="125" t="s">
        <v>811</v>
      </c>
      <c r="B93" s="0" t="s">
        <v>812</v>
      </c>
      <c r="C93" s="0" t="s">
        <v>349</v>
      </c>
      <c r="D93" s="0" t="s">
        <v>341</v>
      </c>
    </row>
    <row r="94">
      <c r="A94" s="125" t="s">
        <v>811</v>
      </c>
      <c r="B94" s="0" t="s">
        <v>812</v>
      </c>
      <c r="C94" s="0" t="s">
        <v>361</v>
      </c>
      <c r="D94" s="0" t="s">
        <v>341</v>
      </c>
    </row>
    <row r="95">
      <c r="A95" s="125" t="s">
        <v>811</v>
      </c>
      <c r="B95" s="0" t="s">
        <v>812</v>
      </c>
      <c r="C95" s="0" t="s">
        <v>380</v>
      </c>
      <c r="D95" s="0" t="s">
        <v>341</v>
      </c>
    </row>
    <row r="96">
      <c r="A96" s="125" t="s">
        <v>811</v>
      </c>
      <c r="B96" s="0" t="s">
        <v>812</v>
      </c>
      <c r="C96" s="0" t="s">
        <v>381</v>
      </c>
      <c r="D96" s="0" t="s">
        <v>341</v>
      </c>
    </row>
    <row r="97">
      <c r="A97" s="125" t="s">
        <v>811</v>
      </c>
      <c r="B97" s="0" t="s">
        <v>812</v>
      </c>
      <c r="C97" s="0" t="s">
        <v>382</v>
      </c>
      <c r="D97" s="0" t="s">
        <v>341</v>
      </c>
    </row>
  </sheetData>
  <pageMargins left="0.7" right="0.7" top="0.75" bottom="0.75" header="0.3" footer="0.3"/>
  <tableParts count="1">
    <tablePart xmlns:r="http://schemas.openxmlformats.org/officeDocument/2006/relationships" r:id="Rfb20fee7026f4d62"/>
  </tableParts>
</worksheet>
</file>

<file path=xl/worksheets/sheet6.xml><?xml version="1.0" encoding="utf-8"?>
<worksheet xmlns="http://schemas.openxmlformats.org/spreadsheetml/2006/main">
  <cols>
    <col min="1" max="1" width="10.00" bestFit="1" customWidth="1"/>
    <col min="2" max="2" width="35.00" bestFit="1" customWidth="1"/>
    <col min="3" max="3" width="38.00" bestFit="1" customWidth="1"/>
    <col min="4" max="4" width="55.00" bestFit="1" customWidth="1"/>
    <col min="5" max="5" width="26.00" bestFit="1" customWidth="1"/>
    <col min="6" max="6" width="14.00" bestFit="1" customWidth="1"/>
    <col min="7" max="7" width="35.00" bestFit="1" customWidth="1"/>
  </cols>
  <sheetData>
    <row r="1">
      <c r="A1" s="18" t="s">
        <v>140</v>
      </c>
      <c r="B1" s="18" t="s">
        <v>408</v>
      </c>
      <c r="C1" s="18" t="s">
        <v>409</v>
      </c>
      <c r="D1" s="18" t="s">
        <v>410</v>
      </c>
      <c r="E1" s="18" t="s">
        <v>411</v>
      </c>
      <c r="F1" s="18" t="s">
        <v>412</v>
      </c>
      <c r="G1" s="18" t="s">
        <v>413</v>
      </c>
    </row>
    <row r="2">
      <c r="A2" s="27">
        <v>17</v>
      </c>
      <c r="B2" s="27" t="s">
        <v>414</v>
      </c>
      <c r="C2" s="27" t="s">
        <v>415</v>
      </c>
      <c r="D2" s="27" t="s">
        <v>416</v>
      </c>
      <c r="E2" s="27" t="s">
        <v>417</v>
      </c>
      <c r="F2" s="27" t="s">
        <v>418</v>
      </c>
      <c r="G2" s="27"/>
    </row>
    <row r="3">
      <c r="A3" s="27">
        <v>19</v>
      </c>
      <c r="B3" s="27" t="s">
        <v>419</v>
      </c>
      <c r="C3" s="27" t="s">
        <v>420</v>
      </c>
      <c r="D3" s="27" t="s">
        <v>421</v>
      </c>
      <c r="E3" s="27" t="s">
        <v>325</v>
      </c>
      <c r="F3" s="27" t="s">
        <v>418</v>
      </c>
      <c r="G3" s="27"/>
    </row>
    <row r="4">
      <c r="A4" s="27">
        <v>20</v>
      </c>
      <c r="B4" s="27" t="s">
        <v>422</v>
      </c>
      <c r="C4" s="27" t="s">
        <v>423</v>
      </c>
      <c r="D4" s="27" t="s">
        <v>424</v>
      </c>
      <c r="E4" s="27" t="s">
        <v>425</v>
      </c>
      <c r="F4" s="27" t="s">
        <v>418</v>
      </c>
      <c r="G4" s="27"/>
    </row>
  </sheetData>
  <dataValidations count="1">
    <dataValidation type="list" sqref="F2:F104">
      <formula1>"Open,Verified,Resolved"</formula1>
    </dataValidation>
  </dataValidations>
  <pageMargins left="0.7" right="0.7" top="0.75" bottom="0.75" header="0.3" footer="0.3"/>
  <tableParts count="1">
    <tablePart xmlns:r="http://schemas.openxmlformats.org/officeDocument/2006/relationships" r:id="Rbfaeb1cc5613479b"/>
  </tableParts>
</worksheet>
</file>

<file path=xl/worksheets/sheet7.xml><?xml version="1.0" encoding="utf-8"?>
<worksheet xmlns="http://schemas.openxmlformats.org/spreadsheetml/2006/main">
  <cols>
    <col min="1" max="1" width="18.00" bestFit="1" customWidth="1"/>
    <col min="2" max="2" width="34.00" bestFit="1" customWidth="1"/>
    <col min="3" max="3" width="65.00" bestFit="1" customWidth="1"/>
    <col min="4" max="4" width="20.00" bestFit="1" customWidth="1"/>
    <col min="5" max="5" width="15.00" bestFit="1" customWidth="1"/>
  </cols>
  <sheetData>
    <row r="1">
      <c r="A1" s="18" t="s">
        <v>426</v>
      </c>
      <c r="B1" s="18" t="s">
        <v>427</v>
      </c>
      <c r="C1" s="18" t="s">
        <v>428</v>
      </c>
      <c r="D1" s="18" t="s">
        <v>429</v>
      </c>
      <c r="E1" s="18" t="s">
        <v>430</v>
      </c>
    </row>
    <row r="2">
      <c r="A2" s="27" t="s">
        <v>431</v>
      </c>
      <c r="B2" s="27" t="s">
        <v>136</v>
      </c>
      <c r="C2" s="27" t="s">
        <v>432</v>
      </c>
      <c r="D2" s="27" t="s">
        <v>433</v>
      </c>
      <c r="E2" s="27" t="s">
        <v>434</v>
      </c>
    </row>
    <row r="3">
      <c r="A3" s="27" t="s">
        <v>431</v>
      </c>
      <c r="B3" s="27" t="s">
        <v>31</v>
      </c>
      <c r="C3" s="27" t="s">
        <v>435</v>
      </c>
      <c r="D3" s="27" t="s">
        <v>433</v>
      </c>
      <c r="E3" s="27" t="s">
        <v>434</v>
      </c>
    </row>
    <row r="4">
      <c r="A4" s="27" t="s">
        <v>431</v>
      </c>
      <c r="B4" s="27" t="s">
        <v>138</v>
      </c>
      <c r="C4" s="27" t="s">
        <v>436</v>
      </c>
      <c r="D4" s="27" t="s">
        <v>433</v>
      </c>
      <c r="E4" s="27" t="s">
        <v>434</v>
      </c>
    </row>
    <row r="5">
      <c r="A5" s="27" t="s">
        <v>431</v>
      </c>
      <c r="B5" s="27" t="s">
        <v>139</v>
      </c>
      <c r="C5" s="27" t="s">
        <v>437</v>
      </c>
      <c r="D5" s="27" t="s">
        <v>438</v>
      </c>
      <c r="E5" s="27" t="s">
        <v>434</v>
      </c>
    </row>
    <row r="6">
      <c r="A6" s="27" t="s">
        <v>431</v>
      </c>
      <c r="B6" s="27" t="s">
        <v>439</v>
      </c>
      <c r="C6" s="27" t="s">
        <v>440</v>
      </c>
      <c r="D6" s="27" t="s">
        <v>441</v>
      </c>
      <c r="E6" s="27" t="s">
        <v>442</v>
      </c>
    </row>
    <row r="7">
      <c r="A7" s="27" t="s">
        <v>431</v>
      </c>
      <c r="B7" s="27" t="s">
        <v>443</v>
      </c>
      <c r="C7" s="27" t="s">
        <v>444</v>
      </c>
      <c r="D7" s="27" t="s">
        <v>445</v>
      </c>
      <c r="E7" s="27" t="s">
        <v>442</v>
      </c>
    </row>
    <row r="8">
      <c r="A8" s="27" t="s">
        <v>446</v>
      </c>
      <c r="B8" s="27" t="s">
        <v>285</v>
      </c>
      <c r="C8" s="27" t="s">
        <v>447</v>
      </c>
      <c r="D8" s="27" t="s">
        <v>433</v>
      </c>
      <c r="E8" s="27" t="s">
        <v>434</v>
      </c>
    </row>
    <row r="9">
      <c r="A9" s="27" t="s">
        <v>448</v>
      </c>
      <c r="B9" s="27" t="s">
        <v>412</v>
      </c>
      <c r="C9" s="27" t="s">
        <v>449</v>
      </c>
      <c r="D9" s="27" t="s">
        <v>450</v>
      </c>
      <c r="E9" s="27" t="s">
        <v>434</v>
      </c>
    </row>
    <row r="10">
      <c r="A10" s="27" t="s">
        <v>13</v>
      </c>
      <c r="B10" s="27" t="s">
        <v>412</v>
      </c>
      <c r="C10" s="27" t="s">
        <v>451</v>
      </c>
      <c r="D10" s="27" t="s">
        <v>450</v>
      </c>
      <c r="E10" s="27" t="s">
        <v>434</v>
      </c>
    </row>
    <row r="11">
      <c r="A11" s="27" t="s">
        <v>15</v>
      </c>
      <c r="B11" s="27" t="s">
        <v>452</v>
      </c>
      <c r="C11" s="27" t="s">
        <v>453</v>
      </c>
      <c r="D11" s="27" t="s">
        <v>454</v>
      </c>
      <c r="E11" s="27" t="s">
        <v>434</v>
      </c>
    </row>
    <row r="12">
      <c r="A12" s="27" t="s">
        <v>17</v>
      </c>
      <c r="B12" s="27" t="s">
        <v>455</v>
      </c>
      <c r="C12" s="27" t="s">
        <v>456</v>
      </c>
      <c r="D12" s="27" t="s">
        <v>457</v>
      </c>
      <c r="E12" s="27" t="s">
        <v>434</v>
      </c>
    </row>
    <row r="13">
      <c r="A13" s="27" t="s">
        <v>19</v>
      </c>
      <c r="B13" s="27" t="s">
        <v>458</v>
      </c>
      <c r="C13" s="27" t="s">
        <v>459</v>
      </c>
      <c r="D13" s="27" t="s">
        <v>433</v>
      </c>
      <c r="E13" s="27" t="s">
        <v>434</v>
      </c>
    </row>
    <row r="14">
      <c r="A14" s="27" t="s">
        <v>21</v>
      </c>
      <c r="B14" s="27" t="s">
        <v>460</v>
      </c>
      <c r="C14" s="27" t="s">
        <v>461</v>
      </c>
      <c r="D14" s="27" t="s">
        <v>433</v>
      </c>
      <c r="E14" s="27" t="s">
        <v>434</v>
      </c>
    </row>
    <row r="15">
      <c r="A15" s="27" t="s">
        <v>23</v>
      </c>
      <c r="B15" s="27" t="s">
        <v>462</v>
      </c>
      <c r="C15" s="27" t="s">
        <v>463</v>
      </c>
      <c r="D15" s="27" t="s">
        <v>433</v>
      </c>
      <c r="E15" s="27" t="s">
        <v>434</v>
      </c>
    </row>
    <row r="16">
      <c r="A16" s="27" t="s">
        <v>25</v>
      </c>
      <c r="B16" s="27" t="s">
        <v>464</v>
      </c>
      <c r="C16" s="27" t="s">
        <v>465</v>
      </c>
      <c r="D16" s="27" t="s">
        <v>433</v>
      </c>
      <c r="E16" s="27" t="s">
        <v>434</v>
      </c>
    </row>
    <row r="17">
      <c r="A17" s="27" t="s">
        <v>29</v>
      </c>
      <c r="B17" s="27" t="s">
        <v>466</v>
      </c>
      <c r="C17" s="27" t="s">
        <v>467</v>
      </c>
      <c r="D17" s="27" t="s">
        <v>454</v>
      </c>
      <c r="E17" s="27" t="s">
        <v>468</v>
      </c>
    </row>
  </sheetData>
  <pageMargins left="0.7" right="0.7" top="0.75" bottom="0.75" header="0.3" footer="0.3"/>
  <tableParts count="1">
    <tablePart xmlns:r="http://schemas.openxmlformats.org/officeDocument/2006/relationships" r:id="R2f111eac0e154bc8"/>
  </tableParts>
</worksheet>
</file>

<file path=xl/worksheets/sheet8.xml><?xml version="1.0" encoding="utf-8"?>
<worksheet xmlns="http://schemas.openxmlformats.org/spreadsheetml/2006/main">
  <cols>
    <col min="1" max="1" width="12.00" bestFit="1" customWidth="1"/>
    <col min="2" max="2" width="14.00" bestFit="1" customWidth="1"/>
    <col min="3" max="3" width="22.00" bestFit="1" customWidth="1"/>
    <col min="4" max="4" width="22.00" bestFit="1" customWidth="1"/>
    <col min="5" max="5" width="28.00" bestFit="1" customWidth="1"/>
    <col min="6" max="6" width="16.00" bestFit="1" customWidth="1"/>
    <col min="7" max="7" width="62.00" bestFit="1" customWidth="1"/>
    <col min="8" max="8" width="12.00" bestFit="1" customWidth="1"/>
  </cols>
  <sheetData>
    <row r="1">
      <c r="A1" s="18" t="s">
        <v>469</v>
      </c>
      <c r="B1" s="18" t="s">
        <v>470</v>
      </c>
      <c r="C1" s="18" t="s">
        <v>471</v>
      </c>
      <c r="D1" s="18" t="s">
        <v>472</v>
      </c>
      <c r="E1" s="18" t="s">
        <v>473</v>
      </c>
      <c r="F1" s="18" t="s">
        <v>474</v>
      </c>
      <c r="G1" s="18" t="s">
        <v>475</v>
      </c>
      <c r="H1" s="18" t="s">
        <v>476</v>
      </c>
    </row>
    <row r="2">
      <c r="A2" s="0" t="s">
        <v>477</v>
      </c>
      <c r="B2" s="0" t="s">
        <v>478</v>
      </c>
      <c r="C2" s="0" t="s">
        <v>479</v>
      </c>
      <c r="D2" s="0" t="s">
        <v>480</v>
      </c>
      <c r="E2" s="0" t="s">
        <v>481</v>
      </c>
      <c r="F2" s="0" t="s">
        <v>482</v>
      </c>
      <c r="G2" s="0" t="s">
        <v>483</v>
      </c>
      <c r="H2" s="0" t="s">
        <v>434</v>
      </c>
    </row>
    <row r="3">
      <c r="A3" s="0" t="s">
        <v>484</v>
      </c>
      <c r="B3" s="0" t="s">
        <v>478</v>
      </c>
      <c r="C3" s="0" t="s">
        <v>485</v>
      </c>
      <c r="D3" s="0" t="s">
        <v>486</v>
      </c>
      <c r="E3" s="0" t="s">
        <v>487</v>
      </c>
      <c r="F3" s="0" t="s">
        <v>488</v>
      </c>
      <c r="G3" s="0" t="s">
        <v>489</v>
      </c>
      <c r="H3" s="0" t="s">
        <v>434</v>
      </c>
    </row>
    <row r="4">
      <c r="A4" s="0" t="s">
        <v>490</v>
      </c>
      <c r="B4" s="0" t="s">
        <v>478</v>
      </c>
      <c r="C4" s="0" t="s">
        <v>485</v>
      </c>
      <c r="D4" s="0" t="s">
        <v>491</v>
      </c>
      <c r="E4" s="0" t="s">
        <v>492</v>
      </c>
      <c r="F4" s="0" t="s">
        <v>488</v>
      </c>
      <c r="G4" s="0" t="s">
        <v>493</v>
      </c>
      <c r="H4" s="0" t="s">
        <v>434</v>
      </c>
    </row>
    <row r="5">
      <c r="A5" s="125" t="s">
        <v>494</v>
      </c>
      <c r="B5" s="125" t="s">
        <v>495</v>
      </c>
      <c r="C5" s="125" t="s">
        <v>496</v>
      </c>
      <c r="D5" s="125" t="s">
        <v>497</v>
      </c>
      <c r="E5" s="125" t="s">
        <v>498</v>
      </c>
      <c r="F5" s="125" t="s">
        <v>488</v>
      </c>
      <c r="G5" s="125" t="s">
        <v>499</v>
      </c>
      <c r="H5" s="125" t="s">
        <v>434</v>
      </c>
    </row>
    <row r="6">
      <c r="A6" s="125" t="s">
        <v>5</v>
      </c>
      <c r="B6" s="125" t="s">
        <v>495</v>
      </c>
      <c r="C6" s="125" t="s">
        <v>496</v>
      </c>
      <c r="D6" s="125" t="s">
        <v>500</v>
      </c>
      <c r="E6" s="125" t="s">
        <v>501</v>
      </c>
      <c r="F6" s="125" t="s">
        <v>488</v>
      </c>
      <c r="G6" s="125" t="s">
        <v>502</v>
      </c>
      <c r="H6" s="125" t="s">
        <v>434</v>
      </c>
    </row>
  </sheetData>
  <pageMargins left="0.7" right="0.7" top="0.75" bottom="0.75" header="0.3" footer="0.3"/>
  <tableParts count="1">
    <tablePart xmlns:r="http://schemas.openxmlformats.org/officeDocument/2006/relationships" r:id="Re6998fa592f14cd3"/>
  </tableParts>
</worksheet>
</file>

<file path=xl/worksheets/sheet9.xml><?xml version="1.0" encoding="utf-8"?>
<worksheet xmlns="http://schemas.openxmlformats.org/spreadsheetml/2006/main">
  <sheetData>
    <row r="1">
      <c r="A1" s="18" t="s">
        <v>31</v>
      </c>
      <c r="B1" s="18" t="s">
        <v>147</v>
      </c>
      <c r="C1" s="18" t="s">
        <v>503</v>
      </c>
      <c r="D1" s="18" t="s">
        <v>139</v>
      </c>
    </row>
    <row r="2">
      <c r="A2" s="125" t="s">
        <v>40</v>
      </c>
      <c r="B2" s="0" t="s">
        <v>162</v>
      </c>
      <c r="C2" s="0" t="s">
        <v>418</v>
      </c>
      <c r="D2" s="0" t="b">
        <v>1</v>
      </c>
    </row>
    <row r="3">
      <c r="A3" s="125" t="s">
        <v>49</v>
      </c>
      <c r="B3" s="0" t="s">
        <v>175</v>
      </c>
      <c r="C3" s="0" t="s">
        <v>504</v>
      </c>
      <c r="D3" s="0" t="b">
        <v>0</v>
      </c>
    </row>
    <row r="4">
      <c r="A4" s="125" t="s">
        <v>58</v>
      </c>
      <c r="B4" s="0" t="s">
        <v>269</v>
      </c>
      <c r="C4" s="0" t="s">
        <v>505</v>
      </c>
      <c r="D4" s="0"/>
    </row>
    <row r="5">
      <c r="A5" s="125" t="s">
        <v>67</v>
      </c>
      <c r="B5" s="0"/>
      <c r="C5" s="0"/>
      <c r="D5" s="0"/>
    </row>
    <row r="6">
      <c r="A6" s="125" t="s">
        <v>75</v>
      </c>
      <c r="B6" s="0"/>
      <c r="C6" s="0"/>
      <c r="D6" s="0"/>
    </row>
    <row r="7">
      <c r="A7" s="125" t="s">
        <v>84</v>
      </c>
      <c r="B7" s="0"/>
      <c r="C7" s="0"/>
      <c r="D7" s="0"/>
    </row>
    <row r="8">
      <c r="A8" s="125" t="s">
        <v>93</v>
      </c>
      <c r="B8" s="0"/>
      <c r="C8" s="0"/>
      <c r="D8" s="0"/>
    </row>
    <row r="9">
      <c r="A9" s="125" t="s">
        <v>102</v>
      </c>
      <c r="B9" s="0"/>
      <c r="C9" s="0"/>
      <c r="D9" s="0"/>
    </row>
    <row r="10">
      <c r="A10" s="125" t="s">
        <v>111</v>
      </c>
      <c r="B10" s="0"/>
      <c r="C10" s="0"/>
      <c r="D10" s="0"/>
    </row>
    <row r="11">
      <c r="A11" s="125" t="s">
        <v>119</v>
      </c>
      <c r="B11" s="0"/>
      <c r="C11" s="0"/>
      <c r="D11" s="0"/>
    </row>
    <row r="12">
      <c r="A12" s="125" t="s">
        <v>128</v>
      </c>
      <c r="B12" s="0"/>
      <c r="C12" s="0"/>
      <c r="D12" s="0"/>
    </row>
  </sheetData>
  <pageMargins left="0.7" right="0.7" top="0.75" bottom="0.75" header="0.3" footer="0.3"/>
</worksheet>
</file>

<file path=xl/worksheets/sheet10.xml><?xml version="1.0" encoding="utf-8"?>
<worksheet xmlns="http://schemas.openxmlformats.org/spreadsheetml/2006/main">
  <cols>
    <col min="1" max="1" width="18.00" bestFit="1" customWidth="1"/>
    <col min="2" max="2" width="24.00" bestFit="1" customWidth="1"/>
    <col min="3" max="3" width="22.00" bestFit="1" customWidth="1"/>
    <col min="4" max="4" width="16.00" bestFit="1" customWidth="1"/>
    <col min="5" max="5" width="14.00" bestFit="1" customWidth="1"/>
    <col min="6" max="6" width="11.00" bestFit="1" customWidth="1"/>
    <col min="7" max="7" width="11.00" bestFit="1" customWidth="1"/>
    <col min="8" max="8" width="16.00" bestFit="1" customWidth="1"/>
    <col min="9" max="9" width="10.00" bestFit="1" customWidth="1"/>
    <col min="10" max="10" width="15.00" bestFit="1" customWidth="1"/>
    <col min="11" max="11" width="11.00" bestFit="1" customWidth="1"/>
    <col min="12" max="12" width="12.00" bestFit="1" customWidth="1"/>
    <col min="13" max="13" width="24.00" bestFit="1" customWidth="1"/>
    <col min="14" max="14" width="18.00" bestFit="1" customWidth="1"/>
    <col min="15" max="15" width="18.00" bestFit="1" customWidth="1"/>
    <col min="16" max="16" width="52.00" bestFit="1" customWidth="1"/>
  </cols>
  <sheetData>
    <row r="1">
      <c r="A1" s="18" t="s">
        <v>506</v>
      </c>
      <c r="B1" s="18" t="s">
        <v>33</v>
      </c>
      <c r="C1" s="18" t="s">
        <v>34</v>
      </c>
      <c r="D1" s="18" t="s">
        <v>507</v>
      </c>
      <c r="E1" s="18" t="s">
        <v>508</v>
      </c>
      <c r="F1" s="18" t="s">
        <v>350</v>
      </c>
      <c r="G1" s="18" t="s">
        <v>372</v>
      </c>
      <c r="H1" s="18" t="s">
        <v>509</v>
      </c>
      <c r="I1" s="18" t="s">
        <v>371</v>
      </c>
      <c r="J1" s="18" t="s">
        <v>401</v>
      </c>
      <c r="K1" s="18" t="s">
        <v>368</v>
      </c>
      <c r="L1" s="18" t="s">
        <v>369</v>
      </c>
      <c r="M1" s="18" t="s">
        <v>510</v>
      </c>
      <c r="N1" s="18" t="s">
        <v>511</v>
      </c>
      <c r="O1" s="18" t="s">
        <v>412</v>
      </c>
      <c r="P1" s="18" t="s">
        <v>39</v>
      </c>
    </row>
    <row r="2">
      <c r="A2" s="27" t="s">
        <v>512</v>
      </c>
      <c r="B2" s="27" t="s">
        <v>513</v>
      </c>
      <c r="C2" s="27" t="s">
        <v>514</v>
      </c>
      <c r="D2" s="27" t="s">
        <v>347</v>
      </c>
      <c r="E2" s="27"/>
      <c r="F2" s="27" t="b">
        <v>0</v>
      </c>
      <c r="G2" s="27" t="b">
        <v>1</v>
      </c>
      <c r="H2" s="27" t="b">
        <v>0</v>
      </c>
      <c r="I2" s="27" t="b">
        <v>0</v>
      </c>
      <c r="J2" s="27"/>
      <c r="K2" s="27" t="b">
        <v>0</v>
      </c>
      <c r="L2" s="27" t="b">
        <v>0</v>
      </c>
      <c r="M2" s="125" t="s">
        <v>111</v>
      </c>
      <c r="N2" s="27" t="s">
        <v>515</v>
      </c>
      <c r="O2" s="27" t="s">
        <v>504</v>
      </c>
      <c r="P2" s="27" t="s">
        <v>516</v>
      </c>
    </row>
    <row r="3">
      <c r="A3" s="27" t="s">
        <v>517</v>
      </c>
      <c r="B3" s="27" t="s">
        <v>518</v>
      </c>
      <c r="C3" s="27" t="s">
        <v>519</v>
      </c>
      <c r="D3" s="27" t="s">
        <v>347</v>
      </c>
      <c r="E3" s="27"/>
      <c r="F3" s="27" t="b">
        <v>0</v>
      </c>
      <c r="G3" s="27" t="b">
        <v>1</v>
      </c>
      <c r="H3" s="27" t="b">
        <v>0</v>
      </c>
      <c r="I3" s="27" t="b">
        <v>0</v>
      </c>
      <c r="J3" s="27"/>
      <c r="K3" s="27" t="b">
        <v>0</v>
      </c>
      <c r="L3" s="27" t="b">
        <v>0</v>
      </c>
      <c r="M3" s="125" t="s">
        <v>111</v>
      </c>
      <c r="N3" s="27" t="s">
        <v>515</v>
      </c>
      <c r="O3" s="27" t="s">
        <v>504</v>
      </c>
      <c r="P3" s="27" t="s">
        <v>520</v>
      </c>
    </row>
    <row r="4">
      <c r="A4" s="27" t="s">
        <v>521</v>
      </c>
      <c r="B4" s="27" t="s">
        <v>522</v>
      </c>
      <c r="C4" s="27" t="s">
        <v>523</v>
      </c>
      <c r="D4" s="27" t="s">
        <v>347</v>
      </c>
      <c r="E4" s="27"/>
      <c r="F4" s="27" t="b">
        <v>0</v>
      </c>
      <c r="G4" s="27" t="b">
        <v>1</v>
      </c>
      <c r="H4" s="27" t="b">
        <v>0</v>
      </c>
      <c r="I4" s="27" t="b">
        <v>0</v>
      </c>
      <c r="J4" s="27"/>
      <c r="K4" s="27" t="b">
        <v>0</v>
      </c>
      <c r="L4" s="27" t="b">
        <v>0</v>
      </c>
      <c r="M4" s="125" t="s">
        <v>111</v>
      </c>
      <c r="N4" s="27" t="s">
        <v>515</v>
      </c>
      <c r="O4" s="27" t="s">
        <v>504</v>
      </c>
      <c r="P4" s="27" t="s">
        <v>524</v>
      </c>
    </row>
    <row r="5">
      <c r="A5" s="27" t="s">
        <v>525</v>
      </c>
      <c r="B5" s="27" t="s">
        <v>526</v>
      </c>
      <c r="C5" s="27" t="s">
        <v>527</v>
      </c>
      <c r="D5" s="27" t="s">
        <v>347</v>
      </c>
      <c r="E5" s="27"/>
      <c r="F5" s="27" t="b">
        <v>0</v>
      </c>
      <c r="G5" s="27"/>
      <c r="H5" s="27"/>
      <c r="I5" s="27" t="b">
        <v>0</v>
      </c>
      <c r="J5" s="27"/>
      <c r="K5" s="27" t="b">
        <v>0</v>
      </c>
      <c r="L5" s="27" t="b">
        <v>0</v>
      </c>
      <c r="M5" s="125" t="s">
        <v>84</v>
      </c>
      <c r="N5" s="27" t="s">
        <v>528</v>
      </c>
      <c r="O5" s="27" t="s">
        <v>504</v>
      </c>
      <c r="P5" s="27" t="s">
        <v>529</v>
      </c>
    </row>
    <row r="6">
      <c r="A6" s="27" t="s">
        <v>530</v>
      </c>
      <c r="B6" s="27" t="s">
        <v>531</v>
      </c>
      <c r="C6" s="27" t="s">
        <v>531</v>
      </c>
      <c r="D6" s="27" t="s">
        <v>347</v>
      </c>
      <c r="E6" s="27"/>
      <c r="F6" s="27" t="b">
        <v>0</v>
      </c>
      <c r="G6" s="27"/>
      <c r="H6" s="27" t="b">
        <v>1</v>
      </c>
      <c r="I6" s="27"/>
      <c r="J6" s="27"/>
      <c r="K6" s="27" t="b">
        <v>0</v>
      </c>
      <c r="L6" s="27" t="b">
        <v>0</v>
      </c>
      <c r="M6" s="125" t="s">
        <v>84</v>
      </c>
      <c r="N6" s="27" t="s">
        <v>532</v>
      </c>
      <c r="O6" s="27" t="s">
        <v>504</v>
      </c>
      <c r="P6" s="27" t="s">
        <v>533</v>
      </c>
    </row>
    <row r="7">
      <c r="A7" s="27" t="s">
        <v>534</v>
      </c>
      <c r="B7" s="27" t="s">
        <v>535</v>
      </c>
      <c r="C7" s="27" t="s">
        <v>536</v>
      </c>
      <c r="D7" s="27" t="s">
        <v>347</v>
      </c>
      <c r="E7" s="27"/>
      <c r="F7" s="27" t="b">
        <v>0</v>
      </c>
      <c r="G7" s="27"/>
      <c r="H7" s="27" t="b">
        <v>0</v>
      </c>
      <c r="I7" s="27"/>
      <c r="J7" s="27" t="b">
        <v>1</v>
      </c>
      <c r="K7" s="27" t="b">
        <v>0</v>
      </c>
      <c r="L7" s="27" t="b">
        <v>0</v>
      </c>
      <c r="M7" s="125" t="s">
        <v>128</v>
      </c>
      <c r="N7" s="27" t="s">
        <v>537</v>
      </c>
      <c r="O7" s="27" t="s">
        <v>504</v>
      </c>
      <c r="P7" s="27" t="s">
        <v>538</v>
      </c>
    </row>
    <row r="8">
      <c r="A8" s="27" t="s">
        <v>539</v>
      </c>
      <c r="B8" s="27" t="s">
        <v>540</v>
      </c>
      <c r="C8" s="27" t="s">
        <v>541</v>
      </c>
      <c r="D8" s="27" t="s">
        <v>347</v>
      </c>
      <c r="E8" s="27"/>
      <c r="F8" s="27" t="b">
        <v>0</v>
      </c>
      <c r="G8" s="27"/>
      <c r="H8" s="27" t="b">
        <v>0</v>
      </c>
      <c r="I8" s="27"/>
      <c r="J8" s="27" t="b">
        <v>1</v>
      </c>
      <c r="K8" s="27" t="b">
        <v>0</v>
      </c>
      <c r="L8" s="27" t="b">
        <v>0</v>
      </c>
      <c r="M8" s="125" t="s">
        <v>128</v>
      </c>
      <c r="N8" s="27" t="s">
        <v>537</v>
      </c>
      <c r="O8" s="27" t="s">
        <v>504</v>
      </c>
      <c r="P8" s="27" t="s">
        <v>542</v>
      </c>
    </row>
    <row r="9">
      <c r="A9" s="27" t="s">
        <v>543</v>
      </c>
      <c r="B9" s="27" t="s">
        <v>544</v>
      </c>
      <c r="C9" s="27" t="s">
        <v>545</v>
      </c>
      <c r="D9" s="27" t="s">
        <v>546</v>
      </c>
      <c r="E9" s="27"/>
      <c r="F9" s="27" t="b">
        <v>1</v>
      </c>
      <c r="G9" s="27"/>
      <c r="H9" s="27" t="b">
        <v>0</v>
      </c>
      <c r="I9" s="27"/>
      <c r="J9" s="27" t="b">
        <v>1</v>
      </c>
      <c r="K9" s="27" t="b">
        <v>0</v>
      </c>
      <c r="L9" s="27" t="b">
        <v>0</v>
      </c>
      <c r="M9" s="125" t="s">
        <v>128</v>
      </c>
      <c r="N9" s="27" t="s">
        <v>537</v>
      </c>
      <c r="O9" s="27" t="s">
        <v>504</v>
      </c>
      <c r="P9" s="27" t="s">
        <v>547</v>
      </c>
    </row>
    <row r="10">
      <c r="A10" s="27" t="s">
        <v>548</v>
      </c>
      <c r="B10" s="27" t="s">
        <v>549</v>
      </c>
      <c r="C10" s="27" t="s">
        <v>550</v>
      </c>
      <c r="D10" s="27" t="s">
        <v>349</v>
      </c>
      <c r="E10" s="27"/>
      <c r="F10" s="27" t="b">
        <v>0</v>
      </c>
      <c r="G10" s="27"/>
      <c r="H10" s="27" t="b">
        <v>0</v>
      </c>
      <c r="I10" s="27"/>
      <c r="J10" s="27" t="b">
        <v>1</v>
      </c>
      <c r="K10" s="27" t="b">
        <v>0</v>
      </c>
      <c r="L10" s="27" t="b">
        <v>0</v>
      </c>
      <c r="M10" s="125" t="s">
        <v>128</v>
      </c>
      <c r="N10" s="27" t="s">
        <v>537</v>
      </c>
      <c r="O10" s="27" t="s">
        <v>504</v>
      </c>
      <c r="P10" s="27" t="s">
        <v>551</v>
      </c>
    </row>
    <row r="11">
      <c r="A11" s="27" t="s">
        <v>552</v>
      </c>
      <c r="B11" s="27" t="s">
        <v>553</v>
      </c>
      <c r="C11" s="27" t="s">
        <v>554</v>
      </c>
      <c r="D11" s="27" t="s">
        <v>555</v>
      </c>
      <c r="E11" s="27"/>
      <c r="F11" s="27" t="b">
        <v>0</v>
      </c>
      <c r="G11" s="27"/>
      <c r="H11" s="27" t="b">
        <v>0</v>
      </c>
      <c r="I11" s="27"/>
      <c r="J11" s="27" t="b">
        <v>1</v>
      </c>
      <c r="K11" s="27" t="b">
        <v>0</v>
      </c>
      <c r="L11" s="27" t="b">
        <v>0</v>
      </c>
      <c r="M11" s="125" t="s">
        <v>128</v>
      </c>
      <c r="N11" s="27" t="s">
        <v>537</v>
      </c>
      <c r="O11" s="27" t="s">
        <v>504</v>
      </c>
      <c r="P11" s="27" t="s">
        <v>556</v>
      </c>
    </row>
    <row r="12">
      <c r="A12" s="27" t="s">
        <v>557</v>
      </c>
      <c r="B12" s="27" t="s">
        <v>558</v>
      </c>
      <c r="C12" s="27" t="s">
        <v>559</v>
      </c>
      <c r="D12" s="27" t="s">
        <v>555</v>
      </c>
      <c r="E12" s="27"/>
      <c r="F12" s="27" t="b">
        <v>0</v>
      </c>
      <c r="G12" s="27"/>
      <c r="H12" s="27" t="b">
        <v>0</v>
      </c>
      <c r="I12" s="27"/>
      <c r="J12" s="27" t="b">
        <v>1</v>
      </c>
      <c r="K12" s="27" t="b">
        <v>0</v>
      </c>
      <c r="L12" s="27" t="b">
        <v>0</v>
      </c>
      <c r="M12" s="125" t="s">
        <v>128</v>
      </c>
      <c r="N12" s="27" t="s">
        <v>537</v>
      </c>
      <c r="O12" s="27" t="s">
        <v>504</v>
      </c>
      <c r="P12" s="27" t="s">
        <v>560</v>
      </c>
    </row>
    <row r="13">
      <c r="A13" s="27" t="s">
        <v>561</v>
      </c>
      <c r="B13" s="27" t="s">
        <v>562</v>
      </c>
      <c r="C13" s="27" t="s">
        <v>563</v>
      </c>
      <c r="D13" s="27" t="s">
        <v>347</v>
      </c>
      <c r="E13" s="27"/>
      <c r="F13" s="27"/>
      <c r="G13" s="27"/>
      <c r="H13" s="27"/>
      <c r="I13" s="27"/>
      <c r="J13" s="27"/>
      <c r="K13" s="27"/>
      <c r="L13" s="27"/>
      <c r="M13" s="27"/>
      <c r="N13" s="27" t="s">
        <v>564</v>
      </c>
      <c r="O13" s="27" t="s">
        <v>565</v>
      </c>
      <c r="P13" s="27" t="s">
        <v>566</v>
      </c>
    </row>
    <row r="14">
      <c r="A14" s="27" t="s">
        <v>567</v>
      </c>
      <c r="B14" s="27" t="s">
        <v>568</v>
      </c>
      <c r="C14" s="27" t="s">
        <v>569</v>
      </c>
      <c r="D14" s="27" t="s">
        <v>347</v>
      </c>
      <c r="E14" s="27"/>
      <c r="F14" s="27"/>
      <c r="G14" s="27"/>
      <c r="H14" s="27"/>
      <c r="I14" s="27"/>
      <c r="J14" s="27"/>
      <c r="K14" s="27"/>
      <c r="L14" s="27"/>
      <c r="M14" s="27"/>
      <c r="N14" s="27" t="s">
        <v>570</v>
      </c>
      <c r="O14" s="27" t="s">
        <v>565</v>
      </c>
      <c r="P14" s="27" t="s">
        <v>571</v>
      </c>
    </row>
    <row r="15">
      <c r="A15" s="27" t="s">
        <v>572</v>
      </c>
      <c r="B15" s="27" t="s">
        <v>573</v>
      </c>
      <c r="C15" s="27" t="s">
        <v>574</v>
      </c>
      <c r="D15" s="27" t="s">
        <v>347</v>
      </c>
      <c r="E15" s="27"/>
      <c r="F15" s="27"/>
      <c r="G15" s="27"/>
      <c r="H15" s="27"/>
      <c r="I15" s="27"/>
      <c r="J15" s="27"/>
      <c r="K15" s="27"/>
      <c r="L15" s="27"/>
      <c r="M15" s="27"/>
      <c r="N15" s="27" t="s">
        <v>570</v>
      </c>
      <c r="O15" s="27" t="s">
        <v>565</v>
      </c>
      <c r="P15" s="27" t="s">
        <v>575</v>
      </c>
    </row>
  </sheetData>
  <dataValidations count="8">
    <dataValidation type="list" sqref="O2:O200">
      <formula1>"Verified,Needs validation,Deprecated"</formula1>
    </dataValidation>
    <dataValidation type="list" sqref="F2:F200">
      <formula1>"true,false,"</formula1>
    </dataValidation>
    <dataValidation type="list" sqref="G2:G200">
      <formula1>"true,false,"</formula1>
    </dataValidation>
    <dataValidation type="list" sqref="H2:H200">
      <formula1>"true,false,"</formula1>
    </dataValidation>
    <dataValidation type="list" sqref="I2:I200">
      <formula1>"true,false,"</formula1>
    </dataValidation>
    <dataValidation type="list" sqref="J2:J200">
      <formula1>"true,false,"</formula1>
    </dataValidation>
    <dataValidation type="list" sqref="K2:K200">
      <formula1>"true,false,"</formula1>
    </dataValidation>
    <dataValidation type="list" sqref="L2:L200">
      <formula1>"true,false,"</formula1>
    </dataValidation>
  </dataValidations>
  <pageMargins left="0.7" right="0.7" top="0.75" bottom="0.75" header="0.3" footer="0.3"/>
  <tableParts count="1">
    <tablePart xmlns:r="http://schemas.openxmlformats.org/officeDocument/2006/relationships" r:id="Rd274c67ab2bd4e86"/>
  </tableParts>
</worksheet>
</file>

<file path=xl/worksheets/sheet11.xml><?xml version="1.0" encoding="utf-8"?>
<worksheet xmlns="http://schemas.openxmlformats.org/spreadsheetml/2006/main">
  <cols>
    <col min="1" max="1" width="18.00" bestFit="1" customWidth="1"/>
    <col min="2" max="2" width="26.00" bestFit="1" customWidth="1"/>
    <col min="3" max="3" width="18.00" bestFit="1" customWidth="1"/>
    <col min="4" max="4" width="20.00" bestFit="1" customWidth="1"/>
    <col min="5" max="5" width="56.00" bestFit="1" customWidth="1"/>
    <col min="6" max="6" width="18.00" bestFit="1" customWidth="1"/>
    <col min="7" max="7" width="18.00" bestFit="1" customWidth="1"/>
  </cols>
  <sheetData>
    <row r="1">
      <c r="A1" s="18" t="s">
        <v>506</v>
      </c>
      <c r="B1" s="18" t="s">
        <v>31</v>
      </c>
      <c r="C1" s="18" t="s">
        <v>452</v>
      </c>
      <c r="D1" s="18" t="s">
        <v>576</v>
      </c>
      <c r="E1" s="18" t="s">
        <v>577</v>
      </c>
      <c r="F1" s="18" t="s">
        <v>511</v>
      </c>
      <c r="G1" s="18" t="s">
        <v>412</v>
      </c>
    </row>
    <row r="2">
      <c r="A2" s="27" t="s">
        <v>512</v>
      </c>
      <c r="B2" s="125" t="s">
        <v>111</v>
      </c>
      <c r="C2" s="27">
        <v>20</v>
      </c>
      <c r="D2" s="27" t="s">
        <v>578</v>
      </c>
      <c r="E2" s="27" t="s">
        <v>579</v>
      </c>
      <c r="F2" s="27" t="s">
        <v>515</v>
      </c>
      <c r="G2" s="27" t="s">
        <v>504</v>
      </c>
    </row>
    <row r="3">
      <c r="A3" s="27" t="s">
        <v>517</v>
      </c>
      <c r="B3" s="125" t="s">
        <v>111</v>
      </c>
      <c r="C3" s="27">
        <v>20</v>
      </c>
      <c r="D3" s="27" t="s">
        <v>578</v>
      </c>
      <c r="E3" s="27" t="s">
        <v>580</v>
      </c>
      <c r="F3" s="27" t="s">
        <v>515</v>
      </c>
      <c r="G3" s="27" t="s">
        <v>504</v>
      </c>
    </row>
    <row r="4">
      <c r="A4" s="27" t="s">
        <v>521</v>
      </c>
      <c r="B4" s="125" t="s">
        <v>111</v>
      </c>
      <c r="C4" s="27">
        <v>20</v>
      </c>
      <c r="D4" s="27" t="s">
        <v>578</v>
      </c>
      <c r="E4" s="27" t="s">
        <v>581</v>
      </c>
      <c r="F4" s="27" t="s">
        <v>515</v>
      </c>
      <c r="G4" s="27" t="s">
        <v>504</v>
      </c>
    </row>
    <row r="5">
      <c r="A5" s="27" t="s">
        <v>525</v>
      </c>
      <c r="B5" s="125" t="s">
        <v>84</v>
      </c>
      <c r="C5" s="27">
        <v>15</v>
      </c>
      <c r="D5" s="27" t="s">
        <v>578</v>
      </c>
      <c r="E5" s="27" t="s">
        <v>582</v>
      </c>
      <c r="F5" s="27" t="s">
        <v>528</v>
      </c>
      <c r="G5" s="27" t="s">
        <v>504</v>
      </c>
    </row>
    <row r="6">
      <c r="A6" s="27" t="s">
        <v>530</v>
      </c>
      <c r="B6" s="125" t="s">
        <v>84</v>
      </c>
      <c r="C6" s="27">
        <v>15</v>
      </c>
      <c r="D6" s="27" t="s">
        <v>578</v>
      </c>
      <c r="E6" s="27" t="s">
        <v>583</v>
      </c>
      <c r="F6" s="27" t="s">
        <v>532</v>
      </c>
      <c r="G6" s="27" t="s">
        <v>504</v>
      </c>
    </row>
    <row r="7">
      <c r="A7" s="27" t="s">
        <v>534</v>
      </c>
      <c r="B7" s="125" t="s">
        <v>128</v>
      </c>
      <c r="C7" s="27">
        <v>15</v>
      </c>
      <c r="D7" s="27" t="s">
        <v>578</v>
      </c>
      <c r="E7" s="27" t="s">
        <v>584</v>
      </c>
      <c r="F7" s="27" t="s">
        <v>537</v>
      </c>
      <c r="G7" s="27" t="s">
        <v>504</v>
      </c>
    </row>
    <row r="8">
      <c r="A8" s="27" t="s">
        <v>539</v>
      </c>
      <c r="B8" s="125" t="s">
        <v>128</v>
      </c>
      <c r="C8" s="27">
        <v>15</v>
      </c>
      <c r="D8" s="27" t="s">
        <v>578</v>
      </c>
      <c r="E8" s="27" t="s">
        <v>585</v>
      </c>
      <c r="F8" s="27" t="s">
        <v>537</v>
      </c>
      <c r="G8" s="27" t="s">
        <v>504</v>
      </c>
    </row>
    <row r="9">
      <c r="A9" s="27" t="s">
        <v>543</v>
      </c>
      <c r="B9" s="125" t="s">
        <v>128</v>
      </c>
      <c r="C9" s="27">
        <v>15</v>
      </c>
      <c r="D9" s="27" t="s">
        <v>578</v>
      </c>
      <c r="E9" s="27" t="s">
        <v>586</v>
      </c>
      <c r="F9" s="27" t="s">
        <v>537</v>
      </c>
      <c r="G9" s="27" t="s">
        <v>504</v>
      </c>
    </row>
    <row r="10">
      <c r="A10" s="27" t="s">
        <v>548</v>
      </c>
      <c r="B10" s="125" t="s">
        <v>128</v>
      </c>
      <c r="C10" s="27">
        <v>15</v>
      </c>
      <c r="D10" s="27" t="s">
        <v>578</v>
      </c>
      <c r="E10" s="27" t="s">
        <v>587</v>
      </c>
      <c r="F10" s="27" t="s">
        <v>537</v>
      </c>
      <c r="G10" s="27" t="s">
        <v>504</v>
      </c>
    </row>
    <row r="11">
      <c r="A11" s="27" t="s">
        <v>552</v>
      </c>
      <c r="B11" s="125" t="s">
        <v>128</v>
      </c>
      <c r="C11" s="27">
        <v>15</v>
      </c>
      <c r="D11" s="27" t="s">
        <v>578</v>
      </c>
      <c r="E11" s="27" t="s">
        <v>588</v>
      </c>
      <c r="F11" s="27" t="s">
        <v>537</v>
      </c>
      <c r="G11" s="27" t="s">
        <v>504</v>
      </c>
    </row>
    <row r="12">
      <c r="A12" s="27" t="s">
        <v>557</v>
      </c>
      <c r="B12" s="125" t="s">
        <v>128</v>
      </c>
      <c r="C12" s="27">
        <v>15</v>
      </c>
      <c r="D12" s="27" t="s">
        <v>578</v>
      </c>
      <c r="E12" s="27" t="s">
        <v>589</v>
      </c>
      <c r="F12" s="27" t="s">
        <v>537</v>
      </c>
      <c r="G12" s="27" t="s">
        <v>504</v>
      </c>
    </row>
  </sheetData>
  <dataValidations count="2">
    <dataValidation type="list" sqref="G2:G300">
      <formula1>"Verified,Needs validation,Deprecated"</formula1>
    </dataValidation>
    <dataValidation type="decimal" operator="between" sqref="C2:C300">
      <formula1>-50</formula1>
      <formula2>50</formula2>
    </dataValidation>
  </dataValidations>
  <pageMargins left="0.7" right="0.7" top="0.75" bottom="0.75" header="0.3" footer="0.3"/>
  <tableParts count="1">
    <tablePart xmlns:r="http://schemas.openxmlformats.org/officeDocument/2006/relationships" r:id="R2ae0890b68ed4656"/>
  </tableParts>
</worksheet>
</file>

<file path=xl/worksheets/sheet12.xml><?xml version="1.0" encoding="utf-8"?>
<worksheet xmlns="http://schemas.openxmlformats.org/spreadsheetml/2006/main">
  <cols>
    <col min="1" max="1" width="30.00" bestFit="1" customWidth="1"/>
    <col min="2" max="2" width="16.00" bestFit="1" customWidth="1"/>
    <col min="3" max="3" width="14.00" bestFit="1" customWidth="1"/>
    <col min="4" max="4" width="18.00" bestFit="1" customWidth="1"/>
    <col min="5" max="5" width="68.00" bestFit="1" customWidth="1"/>
    <col min="6" max="6" width="12.00" bestFit="1" customWidth="1"/>
  </cols>
  <sheetData>
    <row r="1">
      <c r="A1" s="18" t="s">
        <v>590</v>
      </c>
      <c r="B1" s="18" t="s">
        <v>455</v>
      </c>
      <c r="C1" s="18" t="s">
        <v>288</v>
      </c>
      <c r="D1" s="18" t="s">
        <v>507</v>
      </c>
      <c r="E1" s="18" t="s">
        <v>475</v>
      </c>
      <c r="F1" s="18" t="s">
        <v>591</v>
      </c>
    </row>
    <row r="2">
      <c r="A2" s="27" t="s">
        <v>592</v>
      </c>
      <c r="B2" s="27">
        <v>40</v>
      </c>
      <c r="C2" s="27" t="s">
        <v>454</v>
      </c>
      <c r="D2" s="27" t="s">
        <v>593</v>
      </c>
      <c r="E2" s="27" t="s">
        <v>594</v>
      </c>
      <c r="F2" s="27" t="b">
        <v>1</v>
      </c>
    </row>
    <row r="3">
      <c r="A3" s="27" t="s">
        <v>595</v>
      </c>
      <c r="B3" s="27">
        <v>20</v>
      </c>
      <c r="C3" s="27" t="s">
        <v>454</v>
      </c>
      <c r="D3" s="27" t="s">
        <v>593</v>
      </c>
      <c r="E3" s="27" t="s">
        <v>596</v>
      </c>
      <c r="F3" s="27" t="b">
        <v>1</v>
      </c>
    </row>
    <row r="4">
      <c r="A4" s="27" t="s">
        <v>597</v>
      </c>
      <c r="B4" s="27">
        <v>40</v>
      </c>
      <c r="C4" s="27" t="s">
        <v>454</v>
      </c>
      <c r="D4" s="27" t="s">
        <v>593</v>
      </c>
      <c r="E4" s="27" t="s">
        <v>598</v>
      </c>
      <c r="F4" s="27" t="b">
        <v>1</v>
      </c>
    </row>
    <row r="5">
      <c r="A5" s="27" t="s">
        <v>599</v>
      </c>
      <c r="B5" s="27">
        <v>-30</v>
      </c>
      <c r="C5" s="27" t="s">
        <v>454</v>
      </c>
      <c r="D5" s="27" t="s">
        <v>593</v>
      </c>
      <c r="E5" s="27" t="s">
        <v>600</v>
      </c>
      <c r="F5" s="27" t="b">
        <v>1</v>
      </c>
    </row>
    <row r="6">
      <c r="A6" s="27" t="s">
        <v>601</v>
      </c>
      <c r="B6" s="27">
        <v>20</v>
      </c>
      <c r="C6" s="27" t="s">
        <v>454</v>
      </c>
      <c r="D6" s="27" t="s">
        <v>593</v>
      </c>
      <c r="E6" s="27" t="s">
        <v>602</v>
      </c>
      <c r="F6" s="27" t="b">
        <v>1</v>
      </c>
    </row>
    <row r="7">
      <c r="A7" s="27" t="s">
        <v>603</v>
      </c>
      <c r="B7" s="27">
        <v>80</v>
      </c>
      <c r="C7" s="27" t="s">
        <v>454</v>
      </c>
      <c r="D7" s="27" t="s">
        <v>604</v>
      </c>
      <c r="E7" s="27" t="s">
        <v>605</v>
      </c>
      <c r="F7" s="27" t="b">
        <v>1</v>
      </c>
    </row>
    <row r="8">
      <c r="A8" s="27" t="s">
        <v>606</v>
      </c>
      <c r="B8" s="27" t="b">
        <v>1</v>
      </c>
      <c r="C8" s="27" t="s">
        <v>438</v>
      </c>
      <c r="D8" s="27" t="s">
        <v>607</v>
      </c>
      <c r="E8" s="27" t="s">
        <v>608</v>
      </c>
      <c r="F8" s="27" t="b">
        <v>1</v>
      </c>
    </row>
    <row r="9">
      <c r="A9" s="27" t="s">
        <v>609</v>
      </c>
      <c r="B9" s="27" t="b">
        <v>1</v>
      </c>
      <c r="C9" s="27" t="s">
        <v>438</v>
      </c>
      <c r="D9" s="27" t="s">
        <v>607</v>
      </c>
      <c r="E9" s="27" t="s">
        <v>610</v>
      </c>
      <c r="F9" s="27" t="b">
        <v>1</v>
      </c>
    </row>
    <row r="10">
      <c r="A10" s="27" t="s">
        <v>611</v>
      </c>
      <c r="B10" s="27" t="b">
        <v>1</v>
      </c>
      <c r="C10" s="27" t="s">
        <v>438</v>
      </c>
      <c r="D10" s="27" t="s">
        <v>612</v>
      </c>
      <c r="E10" s="27" t="s">
        <v>613</v>
      </c>
      <c r="F10" s="27" t="b">
        <v>1</v>
      </c>
    </row>
    <row r="11">
      <c r="A11" s="27" t="s">
        <v>614</v>
      </c>
      <c r="B11" s="27" t="b">
        <v>1</v>
      </c>
      <c r="C11" s="27" t="s">
        <v>438</v>
      </c>
      <c r="D11" s="27" t="s">
        <v>612</v>
      </c>
      <c r="E11" s="27" t="s">
        <v>615</v>
      </c>
      <c r="F11" s="27" t="b">
        <v>0</v>
      </c>
    </row>
    <row r="12">
      <c r="A12" s="27" t="s">
        <v>616</v>
      </c>
      <c r="B12" s="27" t="b">
        <v>1</v>
      </c>
      <c r="C12" s="27" t="s">
        <v>438</v>
      </c>
      <c r="D12" s="27" t="s">
        <v>612</v>
      </c>
      <c r="E12" s="27" t="s">
        <v>617</v>
      </c>
      <c r="F12" s="27" t="b">
        <v>0</v>
      </c>
    </row>
  </sheetData>
  <dataValidations count="1">
    <dataValidation type="list" sqref="F2:F100">
      <formula1>"true,false"</formula1>
    </dataValidation>
  </dataValidations>
  <pageMargins left="0.7" right="0.7" top="0.75" bottom="0.75" header="0.3" footer="0.3"/>
  <tableParts count="1">
    <tablePart xmlns:r="http://schemas.openxmlformats.org/officeDocument/2006/relationships" r:id="R61fbbdf0865941d6"/>
  </tableParts>
</worksheet>
</file>

<file path=xl/worksheets/sheet13.xml><?xml version="1.0" encoding="utf-8"?>
<worksheet xmlns="http://schemas.openxmlformats.org/spreadsheetml/2006/main">
  <cols>
    <col min="1" max="1" width="20.00" bestFit="1" customWidth="1"/>
    <col min="2" max="2" width="24.00" bestFit="1" customWidth="1"/>
    <col min="3" max="3" width="26.00" bestFit="1" customWidth="1"/>
    <col min="4" max="4" width="58.00" bestFit="1" customWidth="1"/>
    <col min="5" max="5" width="18.00" bestFit="1" customWidth="1"/>
    <col min="6" max="6" width="20.00" bestFit="1" customWidth="1"/>
    <col min="7" max="7" width="62.00" bestFit="1" customWidth="1"/>
    <col min="8" max="8" width="24.00" bestFit="1" customWidth="1"/>
    <col min="9" max="9" width="14.00" bestFit="1" customWidth="1"/>
  </cols>
  <sheetData>
    <row r="1">
      <c r="A1" s="18" t="s">
        <v>618</v>
      </c>
      <c r="B1" s="18" t="s">
        <v>619</v>
      </c>
      <c r="C1" s="18" t="s">
        <v>620</v>
      </c>
      <c r="D1" s="18" t="s">
        <v>458</v>
      </c>
      <c r="E1" s="18" t="s">
        <v>621</v>
      </c>
      <c r="F1" s="18" t="s">
        <v>622</v>
      </c>
      <c r="G1" s="18" t="s">
        <v>623</v>
      </c>
      <c r="H1" s="18" t="s">
        <v>624</v>
      </c>
      <c r="I1" s="18" t="s">
        <v>412</v>
      </c>
    </row>
    <row r="2">
      <c r="A2" s="27" t="s">
        <v>625</v>
      </c>
      <c r="B2" s="27" t="s">
        <v>626</v>
      </c>
      <c r="C2" s="27" t="s">
        <v>627</v>
      </c>
      <c r="D2" s="27" t="s">
        <v>628</v>
      </c>
      <c r="E2" s="27">
        <v>40</v>
      </c>
      <c r="F2" s="27" t="s">
        <v>629</v>
      </c>
      <c r="G2" s="27" t="s">
        <v>630</v>
      </c>
      <c r="H2" s="27" t="s">
        <v>631</v>
      </c>
      <c r="I2" s="27" t="s">
        <v>632</v>
      </c>
    </row>
    <row r="3">
      <c r="A3" s="27" t="s">
        <v>633</v>
      </c>
      <c r="B3" s="27" t="s">
        <v>634</v>
      </c>
      <c r="C3" s="27" t="s">
        <v>635</v>
      </c>
      <c r="D3" s="27" t="s">
        <v>636</v>
      </c>
      <c r="E3" s="27">
        <v>20</v>
      </c>
      <c r="F3" s="27" t="s">
        <v>637</v>
      </c>
      <c r="G3" s="27" t="s">
        <v>638</v>
      </c>
      <c r="H3" s="27" t="s">
        <v>631</v>
      </c>
      <c r="I3" s="27" t="s">
        <v>632</v>
      </c>
    </row>
    <row r="4">
      <c r="A4" s="27" t="s">
        <v>639</v>
      </c>
      <c r="B4" s="27" t="s">
        <v>626</v>
      </c>
      <c r="C4" s="27" t="s">
        <v>640</v>
      </c>
      <c r="D4" s="27" t="s">
        <v>641</v>
      </c>
      <c r="E4" s="27">
        <v>40</v>
      </c>
      <c r="F4" s="27" t="s">
        <v>629</v>
      </c>
      <c r="G4" s="27" t="s">
        <v>642</v>
      </c>
      <c r="H4" s="27" t="s">
        <v>631</v>
      </c>
      <c r="I4" s="27" t="s">
        <v>632</v>
      </c>
    </row>
    <row r="5">
      <c r="A5" s="27" t="s">
        <v>643</v>
      </c>
      <c r="B5" s="27" t="s">
        <v>452</v>
      </c>
      <c r="C5" s="27" t="s">
        <v>506</v>
      </c>
      <c r="D5" s="27" t="s">
        <v>644</v>
      </c>
      <c r="E5" s="27" t="s">
        <v>645</v>
      </c>
      <c r="F5" s="27" t="s">
        <v>646</v>
      </c>
      <c r="G5" s="27" t="s">
        <v>647</v>
      </c>
      <c r="H5" s="27" t="s">
        <v>15</v>
      </c>
      <c r="I5" s="27" t="s">
        <v>632</v>
      </c>
    </row>
    <row r="6">
      <c r="A6" s="27" t="s">
        <v>648</v>
      </c>
      <c r="B6" s="27" t="s">
        <v>612</v>
      </c>
      <c r="C6" s="27" t="s">
        <v>649</v>
      </c>
      <c r="D6" s="27" t="s">
        <v>650</v>
      </c>
      <c r="E6" s="27">
        <v>0</v>
      </c>
      <c r="F6" s="27" t="s">
        <v>651</v>
      </c>
      <c r="G6" s="27" t="s">
        <v>652</v>
      </c>
      <c r="H6" s="27" t="s">
        <v>17</v>
      </c>
      <c r="I6" s="27" t="s">
        <v>632</v>
      </c>
    </row>
    <row r="7">
      <c r="A7" s="27" t="s">
        <v>653</v>
      </c>
      <c r="B7" s="27" t="s">
        <v>654</v>
      </c>
      <c r="C7" s="27" t="s">
        <v>635</v>
      </c>
      <c r="D7" s="27" t="s">
        <v>655</v>
      </c>
      <c r="E7" s="27">
        <v>0</v>
      </c>
      <c r="F7" s="27" t="s">
        <v>656</v>
      </c>
      <c r="G7" s="27" t="s">
        <v>657</v>
      </c>
      <c r="H7" s="27" t="s">
        <v>658</v>
      </c>
      <c r="I7" s="27" t="s">
        <v>632</v>
      </c>
    </row>
    <row r="8">
      <c r="A8" s="27" t="s">
        <v>659</v>
      </c>
      <c r="B8" s="27" t="s">
        <v>660</v>
      </c>
      <c r="C8" s="27" t="s">
        <v>661</v>
      </c>
      <c r="D8" s="27" t="s">
        <v>662</v>
      </c>
      <c r="E8" s="27">
        <v>0</v>
      </c>
      <c r="F8" s="27" t="s">
        <v>663</v>
      </c>
      <c r="G8" s="27" t="s">
        <v>664</v>
      </c>
      <c r="H8" s="27" t="s">
        <v>665</v>
      </c>
      <c r="I8" s="27" t="s">
        <v>632</v>
      </c>
    </row>
    <row r="9">
      <c r="A9" s="27" t="s">
        <v>666</v>
      </c>
      <c r="B9" s="27" t="s">
        <v>660</v>
      </c>
      <c r="C9" s="27" t="s">
        <v>667</v>
      </c>
      <c r="D9" s="27" t="s">
        <v>668</v>
      </c>
      <c r="E9" s="27">
        <v>0</v>
      </c>
      <c r="F9" s="27" t="s">
        <v>663</v>
      </c>
      <c r="G9" s="27" t="s">
        <v>669</v>
      </c>
      <c r="H9" s="27" t="s">
        <v>537</v>
      </c>
      <c r="I9" s="27" t="s">
        <v>632</v>
      </c>
    </row>
    <row r="10">
      <c r="A10" s="27" t="s">
        <v>670</v>
      </c>
      <c r="B10" s="27" t="s">
        <v>612</v>
      </c>
      <c r="C10" s="27" t="s">
        <v>671</v>
      </c>
      <c r="D10" s="27" t="s">
        <v>672</v>
      </c>
      <c r="E10" s="27">
        <v>0</v>
      </c>
      <c r="F10" s="27" t="s">
        <v>651</v>
      </c>
      <c r="G10" s="27" t="s">
        <v>673</v>
      </c>
      <c r="H10" s="27" t="s">
        <v>674</v>
      </c>
      <c r="I10" s="27" t="s">
        <v>632</v>
      </c>
    </row>
  </sheetData>
  <dataValidations count="1">
    <dataValidation type="list" sqref="I2:I200">
      <formula1>"Active,Disabled,Draft"</formula1>
    </dataValidation>
  </dataValidations>
  <pageMargins left="0.7" right="0.7" top="0.75" bottom="0.75" header="0.3" footer="0.3"/>
  <tableParts count="1">
    <tablePart xmlns:r="http://schemas.openxmlformats.org/officeDocument/2006/relationships" r:id="Rea131869098e4d1a"/>
  </tableParts>
</worksheet>
</file>

<file path=xl/worksheets/sheet14.xml><?xml version="1.0" encoding="utf-8"?>
<worksheet xmlns="http://schemas.openxmlformats.org/spreadsheetml/2006/main">
  <cols>
    <col min="1" max="1" width="24.00" bestFit="1" customWidth="1"/>
    <col min="2" max="2" width="55.00" bestFit="1" customWidth="1"/>
    <col min="3" max="3" width="14.00" bestFit="1" customWidth="1"/>
    <col min="4" max="4" width="18.00" bestFit="1" customWidth="1"/>
    <col min="5" max="5" width="48.00" bestFit="1" customWidth="1"/>
    <col min="6" max="6" width="28.00" bestFit="1" customWidth="1"/>
  </cols>
  <sheetData>
    <row r="1">
      <c r="A1" s="18" t="s">
        <v>460</v>
      </c>
      <c r="B1" s="18" t="s">
        <v>675</v>
      </c>
      <c r="C1" s="18" t="s">
        <v>676</v>
      </c>
      <c r="D1" s="18" t="s">
        <v>677</v>
      </c>
      <c r="E1" s="18" t="s">
        <v>678</v>
      </c>
      <c r="F1" s="18" t="s">
        <v>679</v>
      </c>
    </row>
    <row r="2">
      <c r="A2" s="27" t="s">
        <v>627</v>
      </c>
      <c r="B2" s="27" t="s">
        <v>680</v>
      </c>
      <c r="C2" s="27" t="s">
        <v>445</v>
      </c>
      <c r="D2" s="27" t="s">
        <v>441</v>
      </c>
      <c r="E2" s="27" t="s">
        <v>681</v>
      </c>
      <c r="F2" s="27" t="s">
        <v>682</v>
      </c>
    </row>
    <row r="3">
      <c r="A3" s="27" t="s">
        <v>683</v>
      </c>
      <c r="B3" s="27" t="s">
        <v>684</v>
      </c>
      <c r="C3" s="27" t="s">
        <v>433</v>
      </c>
      <c r="D3" s="27"/>
      <c r="E3" s="27" t="s">
        <v>685</v>
      </c>
      <c r="F3" s="27" t="s">
        <v>686</v>
      </c>
    </row>
    <row r="4">
      <c r="A4" s="27" t="s">
        <v>635</v>
      </c>
      <c r="B4" s="27" t="s">
        <v>687</v>
      </c>
      <c r="C4" s="27" t="s">
        <v>445</v>
      </c>
      <c r="D4" s="27" t="s">
        <v>162</v>
      </c>
      <c r="E4" s="27" t="s">
        <v>688</v>
      </c>
      <c r="F4" s="27" t="s">
        <v>689</v>
      </c>
    </row>
    <row r="5">
      <c r="A5" s="27" t="s">
        <v>690</v>
      </c>
      <c r="B5" s="27" t="s">
        <v>691</v>
      </c>
      <c r="C5" s="27" t="s">
        <v>445</v>
      </c>
      <c r="D5" s="27"/>
      <c r="E5" s="27" t="s">
        <v>692</v>
      </c>
      <c r="F5" s="27" t="s">
        <v>693</v>
      </c>
    </row>
    <row r="6">
      <c r="A6" s="27" t="s">
        <v>147</v>
      </c>
      <c r="B6" s="27" t="s">
        <v>694</v>
      </c>
      <c r="C6" s="27" t="s">
        <v>695</v>
      </c>
      <c r="D6" s="27" t="s">
        <v>696</v>
      </c>
      <c r="E6" s="27" t="s">
        <v>697</v>
      </c>
      <c r="F6" s="27" t="s">
        <v>698</v>
      </c>
    </row>
    <row r="7">
      <c r="A7" s="27" t="s">
        <v>401</v>
      </c>
      <c r="B7" s="27" t="s">
        <v>699</v>
      </c>
      <c r="C7" s="27" t="s">
        <v>438</v>
      </c>
      <c r="D7" s="27"/>
      <c r="E7" s="27" t="s">
        <v>700</v>
      </c>
      <c r="F7" s="27" t="s">
        <v>701</v>
      </c>
    </row>
    <row r="8">
      <c r="A8" s="27" t="s">
        <v>372</v>
      </c>
      <c r="B8" s="27" t="s">
        <v>702</v>
      </c>
      <c r="C8" s="27" t="s">
        <v>438</v>
      </c>
      <c r="D8" s="27"/>
      <c r="E8" s="27" t="s">
        <v>703</v>
      </c>
      <c r="F8" s="27" t="s">
        <v>701</v>
      </c>
    </row>
    <row r="9">
      <c r="A9" s="27" t="s">
        <v>373</v>
      </c>
      <c r="B9" s="27" t="s">
        <v>704</v>
      </c>
      <c r="C9" s="27" t="s">
        <v>438</v>
      </c>
      <c r="D9" s="27"/>
      <c r="E9" s="27" t="s">
        <v>705</v>
      </c>
      <c r="F9" s="27" t="s">
        <v>701</v>
      </c>
    </row>
    <row r="10">
      <c r="A10" s="27" t="s">
        <v>371</v>
      </c>
      <c r="B10" s="27" t="s">
        <v>706</v>
      </c>
      <c r="C10" s="27" t="s">
        <v>438</v>
      </c>
      <c r="D10" s="27"/>
      <c r="E10" s="27" t="s">
        <v>707</v>
      </c>
      <c r="F10" s="27" t="s">
        <v>701</v>
      </c>
    </row>
    <row r="11">
      <c r="A11" s="27" t="s">
        <v>361</v>
      </c>
      <c r="B11" s="27" t="s">
        <v>708</v>
      </c>
      <c r="C11" s="27" t="s">
        <v>438</v>
      </c>
      <c r="D11" s="27"/>
      <c r="E11" s="27" t="s">
        <v>709</v>
      </c>
      <c r="F11" s="27" t="s">
        <v>701</v>
      </c>
    </row>
    <row r="12">
      <c r="A12" s="27" t="s">
        <v>380</v>
      </c>
      <c r="B12" s="27" t="s">
        <v>710</v>
      </c>
      <c r="C12" s="27" t="s">
        <v>438</v>
      </c>
      <c r="D12" s="27"/>
      <c r="E12" s="27" t="s">
        <v>711</v>
      </c>
      <c r="F12" s="27" t="s">
        <v>701</v>
      </c>
    </row>
  </sheetData>
  <pageMargins left="0.7" right="0.7" top="0.75" bottom="0.75" header="0.3" footer="0.3"/>
  <tableParts count="1">
    <tablePart xmlns:r="http://schemas.openxmlformats.org/officeDocument/2006/relationships" r:id="R89e533f47f2e45aa"/>
  </tableParts>
</worksheet>
</file>

<file path=xl/worksheets/sheet15.xml><?xml version="1.0" encoding="utf-8"?>
<worksheet xmlns="http://schemas.openxmlformats.org/spreadsheetml/2006/main">
  <cols>
    <col min="1" max="1" width="22.00" bestFit="1" customWidth="1"/>
    <col min="2" max="2" width="25.00" bestFit="1" customWidth="1"/>
    <col min="3" max="3" width="54.00" bestFit="1" customWidth="1"/>
    <col min="4" max="4" width="58.00" bestFit="1" customWidth="1"/>
    <col min="5" max="5" width="52.00" bestFit="1" customWidth="1"/>
  </cols>
  <sheetData>
    <row r="1">
      <c r="A1" s="18" t="s">
        <v>462</v>
      </c>
      <c r="B1" s="18" t="s">
        <v>33</v>
      </c>
      <c r="C1" s="18" t="s">
        <v>712</v>
      </c>
      <c r="D1" s="18" t="s">
        <v>713</v>
      </c>
      <c r="E1" s="18" t="s">
        <v>612</v>
      </c>
    </row>
    <row r="2">
      <c r="A2" s="27" t="s">
        <v>714</v>
      </c>
      <c r="B2" s="27" t="s">
        <v>715</v>
      </c>
      <c r="C2" s="27" t="s">
        <v>716</v>
      </c>
      <c r="D2" s="27" t="s">
        <v>717</v>
      </c>
      <c r="E2" s="27" t="s">
        <v>718</v>
      </c>
    </row>
    <row r="3">
      <c r="A3" s="27" t="s">
        <v>719</v>
      </c>
      <c r="B3" s="27" t="s">
        <v>720</v>
      </c>
      <c r="C3" s="27" t="s">
        <v>721</v>
      </c>
      <c r="D3" s="27" t="s">
        <v>722</v>
      </c>
      <c r="E3" s="27" t="s">
        <v>723</v>
      </c>
    </row>
    <row r="4">
      <c r="A4" s="27" t="s">
        <v>724</v>
      </c>
      <c r="B4" s="27" t="s">
        <v>725</v>
      </c>
      <c r="C4" s="27" t="s">
        <v>726</v>
      </c>
      <c r="D4" s="27" t="s">
        <v>727</v>
      </c>
      <c r="E4" s="27" t="s">
        <v>728</v>
      </c>
    </row>
    <row r="5">
      <c r="A5" s="27" t="s">
        <v>729</v>
      </c>
      <c r="B5" s="27" t="s">
        <v>730</v>
      </c>
      <c r="C5" s="27" t="s">
        <v>731</v>
      </c>
      <c r="D5" s="27" t="s">
        <v>732</v>
      </c>
      <c r="E5" s="27" t="s">
        <v>733</v>
      </c>
    </row>
    <row r="6">
      <c r="A6" s="27" t="s">
        <v>734</v>
      </c>
      <c r="B6" s="27" t="s">
        <v>735</v>
      </c>
      <c r="C6" s="27" t="s">
        <v>736</v>
      </c>
      <c r="D6" s="27" t="s">
        <v>737</v>
      </c>
      <c r="E6" s="27" t="s">
        <v>738</v>
      </c>
    </row>
    <row r="7">
      <c r="A7" s="27" t="s">
        <v>739</v>
      </c>
      <c r="B7" s="27" t="s">
        <v>740</v>
      </c>
      <c r="C7" s="27" t="s">
        <v>741</v>
      </c>
      <c r="D7" s="27" t="s">
        <v>742</v>
      </c>
      <c r="E7" s="27" t="s">
        <v>743</v>
      </c>
    </row>
  </sheetData>
  <pageMargins left="0.7" right="0.7" top="0.75" bottom="0.75" header="0.3" footer="0.3"/>
  <tableParts count="1">
    <tablePart xmlns:r="http://schemas.openxmlformats.org/officeDocument/2006/relationships" r:id="R237fb37464c041ed"/>
  </tableParts>
</worksheet>
</file>

<file path=xl/worksheets/sheet16.xml><?xml version="1.0" encoding="utf-8"?>
<worksheet xmlns="http://schemas.openxmlformats.org/spreadsheetml/2006/main">
  <cols>
    <col min="1" max="1" width="22.00" bestFit="1" customWidth="1"/>
    <col min="2" max="2" width="110.00" bestFit="1" customWidth="1"/>
  </cols>
  <sheetData>
    <row r="1">
      <c r="A1" s="18" t="s">
        <v>744</v>
      </c>
      <c r="B1" s="18" t="s">
        <v>464</v>
      </c>
    </row>
    <row r="2">
      <c r="A2" s="27" t="s">
        <v>745</v>
      </c>
      <c r="B2" s="27" t="s">
        <v>746</v>
      </c>
    </row>
    <row r="3">
      <c r="A3" s="27" t="s">
        <v>747</v>
      </c>
      <c r="B3" s="27" t="s">
        <v>748</v>
      </c>
    </row>
    <row r="4">
      <c r="A4" s="27" t="s">
        <v>749</v>
      </c>
      <c r="B4" s="27" t="s">
        <v>750</v>
      </c>
    </row>
    <row r="5">
      <c r="A5" s="27" t="s">
        <v>751</v>
      </c>
      <c r="B5" s="27" t="s">
        <v>752</v>
      </c>
    </row>
    <row r="6">
      <c r="A6" s="27" t="s">
        <v>753</v>
      </c>
      <c r="B6" s="27" t="s">
        <v>754</v>
      </c>
    </row>
    <row r="7">
      <c r="A7" s="27" t="s">
        <v>755</v>
      </c>
      <c r="B7" s="27" t="s">
        <v>756</v>
      </c>
    </row>
    <row r="8">
      <c r="A8" s="27" t="s">
        <v>757</v>
      </c>
      <c r="B8" s="27" t="s">
        <v>758</v>
      </c>
    </row>
    <row r="9">
      <c r="A9" s="27" t="s">
        <v>759</v>
      </c>
      <c r="B9" s="27" t="s">
        <v>760</v>
      </c>
    </row>
    <row r="10">
      <c r="A10" s="27" t="s">
        <v>761</v>
      </c>
      <c r="B10" s="27" t="s">
        <v>762</v>
      </c>
    </row>
  </sheetData>
  <pageMargins left="0.7" right="0.7" top="0.75" bottom="0.75" header="0.3" footer="0.3"/>
  <tableParts count="1">
    <tablePart xmlns:r="http://schemas.openxmlformats.org/officeDocument/2006/relationships" r:id="R360e7d05e76f4549"/>
  </tableParts>
</worksheet>
</file>

<file path=xl/worksheets/sheet17.xml><?xml version="1.0" encoding="utf-8"?>
<worksheet xmlns="http://schemas.openxmlformats.org/spreadsheetml/2006/main">
  <cols>
    <col min="1" max="1" width="16.00" bestFit="1" customWidth="1"/>
    <col min="2" max="2" width="55.00" bestFit="1" customWidth="1"/>
    <col min="3" max="3" width="22.00" bestFit="1" customWidth="1"/>
    <col min="4" max="4" width="70.00" bestFit="1" customWidth="1"/>
    <col min="5" max="5" width="65.00" bestFit="1" customWidth="1"/>
  </cols>
  <sheetData>
    <row r="1">
      <c r="A1" s="18" t="s">
        <v>763</v>
      </c>
      <c r="B1" s="18" t="s">
        <v>764</v>
      </c>
      <c r="C1" s="18" t="s">
        <v>765</v>
      </c>
      <c r="D1" s="18" t="s">
        <v>766</v>
      </c>
      <c r="E1" s="18" t="s">
        <v>767</v>
      </c>
    </row>
    <row r="2">
      <c r="A2" s="27" t="s">
        <v>768</v>
      </c>
      <c r="B2" s="27" t="s">
        <v>769</v>
      </c>
      <c r="C2" s="27" t="s">
        <v>714</v>
      </c>
      <c r="D2" s="27" t="s">
        <v>770</v>
      </c>
      <c r="E2" s="27" t="s">
        <v>771</v>
      </c>
    </row>
    <row r="3">
      <c r="A3" s="27" t="s">
        <v>772</v>
      </c>
      <c r="B3" s="27" t="s">
        <v>773</v>
      </c>
      <c r="C3" s="27" t="s">
        <v>714</v>
      </c>
      <c r="D3" s="27" t="s">
        <v>774</v>
      </c>
      <c r="E3" s="27" t="s">
        <v>775</v>
      </c>
    </row>
    <row r="4">
      <c r="A4" s="27" t="s">
        <v>776</v>
      </c>
      <c r="B4" s="27" t="s">
        <v>777</v>
      </c>
      <c r="C4" s="27" t="s">
        <v>719</v>
      </c>
      <c r="D4" s="27" t="s">
        <v>778</v>
      </c>
      <c r="E4" s="27" t="s">
        <v>779</v>
      </c>
    </row>
    <row r="5">
      <c r="A5" s="27" t="s">
        <v>780</v>
      </c>
      <c r="B5" s="27" t="s">
        <v>781</v>
      </c>
      <c r="C5" s="27" t="s">
        <v>724</v>
      </c>
      <c r="D5" s="27" t="s">
        <v>782</v>
      </c>
      <c r="E5" s="27" t="s">
        <v>783</v>
      </c>
    </row>
  </sheetData>
  <pageMargins left="0.7" right="0.7" top="0.75" bottom="0.75" header="0.3" footer="0.3"/>
  <tableParts count="1">
    <tablePart xmlns:r="http://schemas.openxmlformats.org/officeDocument/2006/relationships" r:id="R852f83395c7c4bb2"/>
  </tableParts>
</worksheet>
</file>

<file path=xl/worksheets/sheet18.xml><?xml version="1.0" encoding="utf-8"?>
<worksheet xmlns="http://schemas.openxmlformats.org/spreadsheetml/2006/main">
  <cols>
    <col min="1" max="1" width="32.00" bestFit="1" customWidth="1"/>
    <col min="2" max="2" width="16.00" bestFit="1" customWidth="1"/>
    <col min="3" max="3" width="26.00" bestFit="1" customWidth="1"/>
    <col min="4" max="4" width="14.00" bestFit="1" customWidth="1"/>
    <col min="5" max="5" width="14.00" bestFit="1" customWidth="1"/>
    <col min="6" max="6" width="14.00" bestFit="1" customWidth="1"/>
    <col min="7" max="7" width="14.00" bestFit="1" customWidth="1"/>
    <col min="8" max="8" width="14.00" bestFit="1" customWidth="1"/>
    <col min="9" max="9" width="10.00" bestFit="1" customWidth="1"/>
    <col min="10" max="10" width="14.00" bestFit="1" customWidth="1"/>
    <col min="11" max="11" width="12.00" bestFit="1" customWidth="1"/>
    <col min="12" max="12" width="14.00" bestFit="1" customWidth="1"/>
    <col min="13" max="13" width="16.00" bestFit="1" customWidth="1"/>
    <col min="14" max="14" width="14.00" bestFit="1" customWidth="1"/>
    <col min="15" max="15" width="14.00" bestFit="1" customWidth="1"/>
    <col min="16" max="16" width="20.00" bestFit="1" customWidth="1"/>
  </cols>
  <sheetData>
    <row r="1">
      <c r="A1" s="105" t="s">
        <v>784</v>
      </c>
    </row>
    <row r="3">
      <c r="A3" s="18" t="s">
        <v>785</v>
      </c>
      <c r="B3" s="18" t="s">
        <v>786</v>
      </c>
      <c r="C3" s="18" t="s">
        <v>787</v>
      </c>
    </row>
    <row r="4">
      <c r="A4" s="27" t="s">
        <v>788</v>
      </c>
      <c r="B4" s="27">
        <v>1000</v>
      </c>
      <c r="C4" s="27" t="s">
        <v>441</v>
      </c>
    </row>
    <row r="5">
      <c r="A5" s="27" t="s">
        <v>789</v>
      </c>
      <c r="B5" s="27">
        <v>15</v>
      </c>
      <c r="C5" s="27" t="s">
        <v>790</v>
      </c>
    </row>
    <row r="6">
      <c r="A6" s="27" t="s">
        <v>791</v>
      </c>
      <c r="B6" s="27">
        <v>50</v>
      </c>
      <c r="C6" s="27"/>
    </row>
    <row r="7">
      <c r="A7" s="27" t="s">
        <v>792</v>
      </c>
      <c r="B7" s="27" t="s">
        <v>175</v>
      </c>
      <c r="C7" s="27" t="s">
        <v>793</v>
      </c>
    </row>
    <row r="8">
      <c r="A8" s="27" t="s">
        <v>794</v>
      </c>
      <c r="B8" s="27" t="s">
        <v>561</v>
      </c>
      <c r="C8" s="27" t="s">
        <v>795</v>
      </c>
    </row>
    <row r="9">
      <c r="A9" s="12" t="s">
        <v>796</v>
      </c>
    </row>
    <row r="10">
      <c r="A10" s="18" t="s">
        <v>136</v>
      </c>
      <c r="B10" s="18" t="s">
        <v>138</v>
      </c>
      <c r="C10" s="18" t="s">
        <v>31</v>
      </c>
      <c r="D10" s="18" t="s">
        <v>797</v>
      </c>
      <c r="E10" s="18" t="s">
        <v>798</v>
      </c>
      <c r="F10" s="18" t="s">
        <v>799</v>
      </c>
      <c r="G10" s="18" t="s">
        <v>145</v>
      </c>
      <c r="H10" s="18" t="s">
        <v>146</v>
      </c>
      <c r="I10" s="18" t="s">
        <v>288</v>
      </c>
      <c r="J10" s="18" t="s">
        <v>800</v>
      </c>
      <c r="K10" s="18" t="s">
        <v>801</v>
      </c>
      <c r="L10" s="18" t="s">
        <v>802</v>
      </c>
      <c r="M10" s="18" t="s">
        <v>803</v>
      </c>
      <c r="N10" s="18" t="s">
        <v>804</v>
      </c>
      <c r="O10" s="18" t="s">
        <v>466</v>
      </c>
      <c r="P10" s="18" t="s">
        <v>412</v>
      </c>
    </row>
    <row r="11">
      <c r="A11" s="125" t="s">
        <v>158</v>
      </c>
      <c r="B11" s="27" t="s">
        <v>160</v>
      </c>
      <c r="C11" s="125" t="s">
        <v>40</v>
      </c>
      <c r="D11" s="27">
        <f>Models!G2</f>
        <v/>
      </c>
      <c r="E11" s="27">
        <f>Models!H2</f>
        <v/>
      </c>
      <c r="F11" s="27">
        <f>Models!I2</f>
        <v/>
      </c>
      <c r="G11" s="27">
        <f>Models!K2</f>
        <v/>
      </c>
      <c r="H11" s="27">
        <f>Models!L2</f>
        <v/>
      </c>
      <c r="I11" s="27" t="s">
        <v>162</v>
      </c>
      <c r="J11" s="27">
        <f>IF(AND($B$4&gt;=D11,$B$4&lt;=E11),1,0)</f>
        <v/>
      </c>
      <c r="K11" s="27">
        <f>IF($B$5="",1,IF(F11="",1,IF($B$5&lt;=F11,1,0)))</f>
        <v/>
      </c>
      <c r="L11" s="27">
        <f>IF($B$6="",1,IF(AND($B$7=I11,$B$6&gt;=G11,$B$6&lt;=H11),1,0))</f>
        <v/>
      </c>
      <c r="M11" s="27">
        <f>J11*40+K11*20+L11*40</f>
        <v/>
      </c>
      <c r="N11" s="27">
        <f>IF($B$8="",0,SUMIFS(Material_Series_Map!$C$2:$C$300,Material_Series_Map!$A$2:$A$300,$B$8,Material_Series_Map!$B$2:$B$300,C11,Material_Series_Map!$G$2:$G$300,"Verified"))</f>
        <v/>
      </c>
      <c r="O11" s="27">
        <f>MIN(100,MAX(0,M11+N11))</f>
        <v/>
      </c>
      <c r="P11" s="27" t="s">
        <v>805</v>
      </c>
    </row>
    <row r="12">
      <c r="A12" s="125" t="s">
        <v>164</v>
      </c>
      <c r="B12" s="27" t="s">
        <v>165</v>
      </c>
      <c r="C12" s="125" t="s">
        <v>40</v>
      </c>
      <c r="D12" s="27">
        <f>Models!G3</f>
        <v/>
      </c>
      <c r="E12" s="27">
        <f>Models!H3</f>
        <v/>
      </c>
      <c r="F12" s="27">
        <f>Models!I3</f>
        <v/>
      </c>
      <c r="G12" s="27">
        <f>Models!K3</f>
        <v/>
      </c>
      <c r="H12" s="27">
        <f>Models!L3</f>
        <v/>
      </c>
      <c r="I12" s="27" t="s">
        <v>162</v>
      </c>
      <c r="J12" s="27">
        <f>IF(AND($B$4&gt;=D12,$B$4&lt;=E12),1,0)</f>
        <v/>
      </c>
      <c r="K12" s="27">
        <f>IF($B$5="",1,IF(F12="",1,IF($B$5&lt;=F12,1,0)))</f>
        <v/>
      </c>
      <c r="L12" s="27">
        <f>IF($B$6="",1,IF(AND($B$7=I12,$B$6&gt;=G12,$B$6&lt;=H12),1,0))</f>
        <v/>
      </c>
      <c r="M12" s="27">
        <f>J12*40+K12*20+L12*40</f>
        <v/>
      </c>
      <c r="N12" s="27">
        <f>IF($B$8="",0,SUMIFS(Material_Series_Map!$C$2:$C$300,Material_Series_Map!$A$2:$A$300,$B$8,Material_Series_Map!$B$2:$B$300,C12,Material_Series_Map!$G$2:$G$300,"Verified"))</f>
        <v/>
      </c>
      <c r="O12" s="27">
        <f>MIN(100,MAX(0,M12+N12))</f>
        <v/>
      </c>
      <c r="P12" s="27" t="s">
        <v>805</v>
      </c>
    </row>
    <row r="13">
      <c r="A13" s="125" t="s">
        <v>166</v>
      </c>
      <c r="B13" s="27" t="s">
        <v>167</v>
      </c>
      <c r="C13" s="125" t="s">
        <v>40</v>
      </c>
      <c r="D13" s="27">
        <f>Models!G4</f>
        <v/>
      </c>
      <c r="E13" s="27">
        <f>Models!H4</f>
        <v/>
      </c>
      <c r="F13" s="27">
        <f>Models!I4</f>
        <v/>
      </c>
      <c r="G13" s="27">
        <f>Models!K4</f>
        <v/>
      </c>
      <c r="H13" s="27">
        <f>Models!L4</f>
        <v/>
      </c>
      <c r="I13" s="27" t="s">
        <v>162</v>
      </c>
      <c r="J13" s="27">
        <f>IF(AND($B$4&gt;=D13,$B$4&lt;=E13),1,0)</f>
        <v/>
      </c>
      <c r="K13" s="27">
        <f>IF($B$5="",1,IF(F13="",1,IF($B$5&lt;=F13,1,0)))</f>
        <v/>
      </c>
      <c r="L13" s="27">
        <f>IF($B$6="",1,IF(AND($B$7=I13,$B$6&gt;=G13,$B$6&lt;=H13),1,0))</f>
        <v/>
      </c>
      <c r="M13" s="27">
        <f>J13*40+K13*20+L13*40</f>
        <v/>
      </c>
      <c r="N13" s="27">
        <f>IF($B$8="",0,SUMIFS(Material_Series_Map!$C$2:$C$300,Material_Series_Map!$A$2:$A$300,$B$8,Material_Series_Map!$B$2:$B$300,C13,Material_Series_Map!$G$2:$G$300,"Verified"))</f>
        <v/>
      </c>
      <c r="O13" s="27">
        <f>MIN(100,MAX(0,M13+N13))</f>
        <v/>
      </c>
      <c r="P13" s="27" t="s">
        <v>805</v>
      </c>
    </row>
    <row r="14">
      <c r="A14" s="125" t="s">
        <v>168</v>
      </c>
      <c r="B14" s="27" t="s">
        <v>169</v>
      </c>
      <c r="C14" s="125" t="s">
        <v>40</v>
      </c>
      <c r="D14" s="27">
        <f>Models!G5</f>
        <v/>
      </c>
      <c r="E14" s="27">
        <f>Models!H5</f>
        <v/>
      </c>
      <c r="F14" s="27">
        <f>Models!I5</f>
        <v/>
      </c>
      <c r="G14" s="27">
        <f>Models!K5</f>
        <v/>
      </c>
      <c r="H14" s="27">
        <f>Models!L5</f>
        <v/>
      </c>
      <c r="I14" s="27" t="s">
        <v>162</v>
      </c>
      <c r="J14" s="27">
        <f>IF(AND($B$4&gt;=D14,$B$4&lt;=E14),1,0)</f>
        <v/>
      </c>
      <c r="K14" s="27">
        <f>IF($B$5="",1,IF(F14="",1,IF($B$5&lt;=F14,1,0)))</f>
        <v/>
      </c>
      <c r="L14" s="27">
        <f>IF($B$6="",1,IF(AND($B$7=I14,$B$6&gt;=G14,$B$6&lt;=H14),1,0))</f>
        <v/>
      </c>
      <c r="M14" s="27">
        <f>J14*40+K14*20+L14*40</f>
        <v/>
      </c>
      <c r="N14" s="27">
        <f>IF($B$8="",0,SUMIFS(Material_Series_Map!$C$2:$C$300,Material_Series_Map!$A$2:$A$300,$B$8,Material_Series_Map!$B$2:$B$300,C14,Material_Series_Map!$G$2:$G$300,"Verified"))</f>
        <v/>
      </c>
      <c r="O14" s="27">
        <f>MIN(100,MAX(0,M14+N14))</f>
        <v/>
      </c>
      <c r="P14" s="27" t="s">
        <v>805</v>
      </c>
    </row>
    <row r="15">
      <c r="A15" s="125" t="s">
        <v>170</v>
      </c>
      <c r="B15" s="27" t="s">
        <v>171</v>
      </c>
      <c r="C15" s="125" t="s">
        <v>40</v>
      </c>
      <c r="D15" s="27">
        <f>Models!G6</f>
        <v/>
      </c>
      <c r="E15" s="27">
        <f>Models!H6</f>
        <v/>
      </c>
      <c r="F15" s="27">
        <f>Models!I6</f>
        <v/>
      </c>
      <c r="G15" s="27">
        <f>Models!K6</f>
        <v/>
      </c>
      <c r="H15" s="27">
        <f>Models!L6</f>
        <v/>
      </c>
      <c r="I15" s="27" t="s">
        <v>162</v>
      </c>
      <c r="J15" s="27">
        <f>IF(AND($B$4&gt;=D15,$B$4&lt;=E15),1,0)</f>
        <v/>
      </c>
      <c r="K15" s="27">
        <f>IF($B$5="",1,IF(F15="",1,IF($B$5&lt;=F15,1,0)))</f>
        <v/>
      </c>
      <c r="L15" s="27">
        <f>IF($B$6="",1,IF(AND($B$7=I15,$B$6&gt;=G15,$B$6&lt;=H15),1,0))</f>
        <v/>
      </c>
      <c r="M15" s="27">
        <f>J15*40+K15*20+L15*40</f>
        <v/>
      </c>
      <c r="N15" s="27">
        <f>IF($B$8="",0,SUMIFS(Material_Series_Map!$C$2:$C$300,Material_Series_Map!$A$2:$A$300,$B$8,Material_Series_Map!$B$2:$B$300,C15,Material_Series_Map!$G$2:$G$300,"Verified"))</f>
        <v/>
      </c>
      <c r="O15" s="27">
        <f>MIN(100,MAX(0,M15+N15))</f>
        <v/>
      </c>
      <c r="P15" s="27" t="s">
        <v>805</v>
      </c>
    </row>
    <row r="16">
      <c r="A16" s="125" t="s">
        <v>172</v>
      </c>
      <c r="B16" s="27" t="s">
        <v>173</v>
      </c>
      <c r="C16" s="125" t="s">
        <v>49</v>
      </c>
      <c r="D16" s="27">
        <f>Models!G7</f>
        <v/>
      </c>
      <c r="E16" s="27">
        <f>Models!H7</f>
        <v/>
      </c>
      <c r="F16" s="27">
        <f>Models!I7</f>
        <v/>
      </c>
      <c r="G16" s="27">
        <f>Models!K7</f>
        <v/>
      </c>
      <c r="H16" s="27">
        <f>Models!L7</f>
        <v/>
      </c>
      <c r="I16" s="27" t="s">
        <v>175</v>
      </c>
      <c r="J16" s="27">
        <f>IF(AND($B$4&gt;=D16,$B$4&lt;=E16),1,0)</f>
        <v/>
      </c>
      <c r="K16" s="27">
        <f>IF($B$5="",1,IF(F16="",1,IF($B$5&lt;=F16,1,0)))</f>
        <v/>
      </c>
      <c r="L16" s="27">
        <f>IF($B$6="",1,IF(AND($B$7=I16,$B$6&gt;=G16,$B$6&lt;=H16),1,0))</f>
        <v/>
      </c>
      <c r="M16" s="27">
        <f>J16*40+K16*20+L16*40</f>
        <v/>
      </c>
      <c r="N16" s="27">
        <f>IF($B$8="",0,SUMIFS(Material_Series_Map!$C$2:$C$300,Material_Series_Map!$A$2:$A$300,$B$8,Material_Series_Map!$B$2:$B$300,C16,Material_Series_Map!$G$2:$G$300,"Verified"))</f>
        <v/>
      </c>
      <c r="O16" s="27">
        <f>MIN(100,MAX(0,M16+N16))</f>
        <v/>
      </c>
      <c r="P16" s="27" t="s">
        <v>805</v>
      </c>
    </row>
    <row r="17">
      <c r="A17" s="125" t="s">
        <v>176</v>
      </c>
      <c r="B17" s="27" t="s">
        <v>177</v>
      </c>
      <c r="C17" s="125" t="s">
        <v>49</v>
      </c>
      <c r="D17" s="27">
        <f>Models!G8</f>
        <v/>
      </c>
      <c r="E17" s="27">
        <f>Models!H8</f>
        <v/>
      </c>
      <c r="F17" s="27">
        <f>Models!I8</f>
        <v/>
      </c>
      <c r="G17" s="27">
        <f>Models!K8</f>
        <v/>
      </c>
      <c r="H17" s="27">
        <f>Models!L8</f>
        <v/>
      </c>
      <c r="I17" s="27" t="s">
        <v>175</v>
      </c>
      <c r="J17" s="27">
        <f>IF(AND($B$4&gt;=D17,$B$4&lt;=E17),1,0)</f>
        <v/>
      </c>
      <c r="K17" s="27">
        <f>IF($B$5="",1,IF(F17="",1,IF($B$5&lt;=F17,1,0)))</f>
        <v/>
      </c>
      <c r="L17" s="27">
        <f>IF($B$6="",1,IF(AND($B$7=I17,$B$6&gt;=G17,$B$6&lt;=H17),1,0))</f>
        <v/>
      </c>
      <c r="M17" s="27">
        <f>J17*40+K17*20+L17*40</f>
        <v/>
      </c>
      <c r="N17" s="27">
        <f>IF($B$8="",0,SUMIFS(Material_Series_Map!$C$2:$C$300,Material_Series_Map!$A$2:$A$300,$B$8,Material_Series_Map!$B$2:$B$300,C17,Material_Series_Map!$G$2:$G$300,"Verified"))</f>
        <v/>
      </c>
      <c r="O17" s="27">
        <f>MIN(100,MAX(0,M17+N17))</f>
        <v/>
      </c>
      <c r="P17" s="27" t="s">
        <v>805</v>
      </c>
    </row>
    <row r="18">
      <c r="A18" s="125" t="s">
        <v>178</v>
      </c>
      <c r="B18" s="27" t="s">
        <v>179</v>
      </c>
      <c r="C18" s="125" t="s">
        <v>49</v>
      </c>
      <c r="D18" s="27">
        <f>Models!G9</f>
        <v/>
      </c>
      <c r="E18" s="27">
        <f>Models!H9</f>
        <v/>
      </c>
      <c r="F18" s="27">
        <f>Models!I9</f>
        <v/>
      </c>
      <c r="G18" s="27">
        <f>Models!K9</f>
        <v/>
      </c>
      <c r="H18" s="27">
        <f>Models!L9</f>
        <v/>
      </c>
      <c r="I18" s="27" t="s">
        <v>175</v>
      </c>
      <c r="J18" s="27">
        <f>IF(AND($B$4&gt;=D18,$B$4&lt;=E18),1,0)</f>
        <v/>
      </c>
      <c r="K18" s="27">
        <f>IF($B$5="",1,IF(F18="",1,IF($B$5&lt;=F18,1,0)))</f>
        <v/>
      </c>
      <c r="L18" s="27">
        <f>IF($B$6="",1,IF(AND($B$7=I18,$B$6&gt;=G18,$B$6&lt;=H18),1,0))</f>
        <v/>
      </c>
      <c r="M18" s="27">
        <f>J18*40+K18*20+L18*40</f>
        <v/>
      </c>
      <c r="N18" s="27">
        <f>IF($B$8="",0,SUMIFS(Material_Series_Map!$C$2:$C$300,Material_Series_Map!$A$2:$A$300,$B$8,Material_Series_Map!$B$2:$B$300,C18,Material_Series_Map!$G$2:$G$300,"Verified"))</f>
        <v/>
      </c>
      <c r="O18" s="27">
        <f>MIN(100,MAX(0,M18+N18))</f>
        <v/>
      </c>
      <c r="P18" s="27" t="s">
        <v>805</v>
      </c>
    </row>
    <row r="19">
      <c r="A19" s="125" t="s">
        <v>180</v>
      </c>
      <c r="B19" s="27" t="s">
        <v>181</v>
      </c>
      <c r="C19" s="125" t="s">
        <v>58</v>
      </c>
      <c r="D19" s="27">
        <f>Models!G10</f>
        <v/>
      </c>
      <c r="E19" s="27">
        <f>Models!H10</f>
        <v/>
      </c>
      <c r="F19" s="27">
        <f>Models!I10</f>
        <v/>
      </c>
      <c r="G19" s="27">
        <f>Models!K10</f>
        <v/>
      </c>
      <c r="H19" s="27">
        <f>Models!L10</f>
        <v/>
      </c>
      <c r="I19" s="27" t="s">
        <v>175</v>
      </c>
      <c r="J19" s="27">
        <f>IF(AND($B$4&gt;=D19,$B$4&lt;=E19),1,0)</f>
        <v/>
      </c>
      <c r="K19" s="27">
        <f>IF($B$5="",1,IF(F19="",1,IF($B$5&lt;=F19,1,0)))</f>
        <v/>
      </c>
      <c r="L19" s="27">
        <f>IF($B$6="",1,IF(AND($B$7=I19,$B$6&gt;=G19,$B$6&lt;=H19),1,0))</f>
        <v/>
      </c>
      <c r="M19" s="27">
        <f>J19*40+K19*20+L19*40</f>
        <v/>
      </c>
      <c r="N19" s="27">
        <f>IF($B$8="",0,SUMIFS(Material_Series_Map!$C$2:$C$300,Material_Series_Map!$A$2:$A$300,$B$8,Material_Series_Map!$B$2:$B$300,C19,Material_Series_Map!$G$2:$G$300,"Verified"))</f>
        <v/>
      </c>
      <c r="O19" s="27">
        <f>MIN(100,MAX(0,M19+N19))</f>
        <v/>
      </c>
      <c r="P19" s="27" t="s">
        <v>805</v>
      </c>
    </row>
    <row r="20">
      <c r="A20" s="125" t="s">
        <v>183</v>
      </c>
      <c r="B20" s="27" t="s">
        <v>184</v>
      </c>
      <c r="C20" s="125" t="s">
        <v>58</v>
      </c>
      <c r="D20" s="27">
        <f>Models!G11</f>
        <v/>
      </c>
      <c r="E20" s="27">
        <f>Models!H11</f>
        <v/>
      </c>
      <c r="F20" s="27">
        <f>Models!I11</f>
        <v/>
      </c>
      <c r="G20" s="27">
        <f>Models!K11</f>
        <v/>
      </c>
      <c r="H20" s="27">
        <f>Models!L11</f>
        <v/>
      </c>
      <c r="I20" s="27" t="s">
        <v>175</v>
      </c>
      <c r="J20" s="27">
        <f>IF(AND($B$4&gt;=D20,$B$4&lt;=E20),1,0)</f>
        <v/>
      </c>
      <c r="K20" s="27">
        <f>IF($B$5="",1,IF(F20="",1,IF($B$5&lt;=F20,1,0)))</f>
        <v/>
      </c>
      <c r="L20" s="27">
        <f>IF($B$6="",1,IF(AND($B$7=I20,$B$6&gt;=G20,$B$6&lt;=H20),1,0))</f>
        <v/>
      </c>
      <c r="M20" s="27">
        <f>J20*40+K20*20+L20*40</f>
        <v/>
      </c>
      <c r="N20" s="27">
        <f>IF($B$8="",0,SUMIFS(Material_Series_Map!$C$2:$C$300,Material_Series_Map!$A$2:$A$300,$B$8,Material_Series_Map!$B$2:$B$300,C20,Material_Series_Map!$G$2:$G$300,"Verified"))</f>
        <v/>
      </c>
      <c r="O20" s="27">
        <f>MIN(100,MAX(0,M20+N20))</f>
        <v/>
      </c>
      <c r="P20" s="27" t="s">
        <v>805</v>
      </c>
    </row>
    <row r="21">
      <c r="A21" s="125" t="s">
        <v>186</v>
      </c>
      <c r="B21" s="27" t="s">
        <v>187</v>
      </c>
      <c r="C21" s="125" t="s">
        <v>58</v>
      </c>
      <c r="D21" s="27">
        <f>Models!G12</f>
        <v/>
      </c>
      <c r="E21" s="27">
        <f>Models!H12</f>
        <v/>
      </c>
      <c r="F21" s="27">
        <f>Models!I12</f>
        <v/>
      </c>
      <c r="G21" s="27">
        <f>Models!K12</f>
        <v/>
      </c>
      <c r="H21" s="27">
        <f>Models!L12</f>
        <v/>
      </c>
      <c r="I21" s="27" t="s">
        <v>175</v>
      </c>
      <c r="J21" s="27">
        <f>IF(AND($B$4&gt;=D21,$B$4&lt;=E21),1,0)</f>
        <v/>
      </c>
      <c r="K21" s="27">
        <f>IF($B$5="",1,IF(F21="",1,IF($B$5&lt;=F21,1,0)))</f>
        <v/>
      </c>
      <c r="L21" s="27">
        <f>IF($B$6="",1,IF(AND($B$7=I21,$B$6&gt;=G21,$B$6&lt;=H21),1,0))</f>
        <v/>
      </c>
      <c r="M21" s="27">
        <f>J21*40+K21*20+L21*40</f>
        <v/>
      </c>
      <c r="N21" s="27">
        <f>IF($B$8="",0,SUMIFS(Material_Series_Map!$C$2:$C$300,Material_Series_Map!$A$2:$A$300,$B$8,Material_Series_Map!$B$2:$B$300,C21,Material_Series_Map!$G$2:$G$300,"Verified"))</f>
        <v/>
      </c>
      <c r="O21" s="27">
        <f>MIN(100,MAX(0,M21+N21))</f>
        <v/>
      </c>
      <c r="P21" s="27" t="s">
        <v>805</v>
      </c>
    </row>
    <row r="22">
      <c r="A22" s="125" t="s">
        <v>188</v>
      </c>
      <c r="B22" s="27" t="s">
        <v>189</v>
      </c>
      <c r="C22" s="125" t="s">
        <v>58</v>
      </c>
      <c r="D22" s="27">
        <f>Models!G13</f>
        <v/>
      </c>
      <c r="E22" s="27">
        <f>Models!H13</f>
        <v/>
      </c>
      <c r="F22" s="27">
        <f>Models!I13</f>
        <v/>
      </c>
      <c r="G22" s="27">
        <f>Models!K13</f>
        <v/>
      </c>
      <c r="H22" s="27">
        <f>Models!L13</f>
        <v/>
      </c>
      <c r="I22" s="27" t="s">
        <v>175</v>
      </c>
      <c r="J22" s="27">
        <f>IF(AND($B$4&gt;=D22,$B$4&lt;=E22),1,0)</f>
        <v/>
      </c>
      <c r="K22" s="27">
        <f>IF($B$5="",1,IF(F22="",1,IF($B$5&lt;=F22,1,0)))</f>
        <v/>
      </c>
      <c r="L22" s="27">
        <f>IF($B$6="",1,IF(AND($B$7=I22,$B$6&gt;=G22,$B$6&lt;=H22),1,0))</f>
        <v/>
      </c>
      <c r="M22" s="27">
        <f>J22*40+K22*20+L22*40</f>
        <v/>
      </c>
      <c r="N22" s="27">
        <f>IF($B$8="",0,SUMIFS(Material_Series_Map!$C$2:$C$300,Material_Series_Map!$A$2:$A$300,$B$8,Material_Series_Map!$B$2:$B$300,C22,Material_Series_Map!$G$2:$G$300,"Verified"))</f>
        <v/>
      </c>
      <c r="O22" s="27">
        <f>MIN(100,MAX(0,M22+N22))</f>
        <v/>
      </c>
      <c r="P22" s="27" t="s">
        <v>805</v>
      </c>
    </row>
    <row r="23">
      <c r="A23" s="125" t="s">
        <v>190</v>
      </c>
      <c r="B23" s="27" t="s">
        <v>191</v>
      </c>
      <c r="C23" s="125" t="s">
        <v>67</v>
      </c>
      <c r="D23" s="27">
        <f>Models!G14</f>
        <v/>
      </c>
      <c r="E23" s="27">
        <f>Models!H14</f>
        <v/>
      </c>
      <c r="F23" s="27">
        <f>Models!I14</f>
        <v/>
      </c>
      <c r="G23" s="27">
        <f>Models!K14</f>
        <v/>
      </c>
      <c r="H23" s="27">
        <f>Models!L14</f>
        <v/>
      </c>
      <c r="I23" s="27" t="s">
        <v>175</v>
      </c>
      <c r="J23" s="27">
        <f>IF(AND($B$4&gt;=D23,$B$4&lt;=E23),1,0)</f>
        <v/>
      </c>
      <c r="K23" s="27">
        <f>IF($B$5="",1,IF(F23="",1,IF($B$5&lt;=F23,1,0)))</f>
        <v/>
      </c>
      <c r="L23" s="27">
        <f>IF($B$6="",1,IF(AND($B$7=I23,$B$6&gt;=G23,$B$6&lt;=H23),1,0))</f>
        <v/>
      </c>
      <c r="M23" s="27">
        <f>J23*40+K23*20+L23*40</f>
        <v/>
      </c>
      <c r="N23" s="27">
        <f>IF($B$8="",0,SUMIFS(Material_Series_Map!$C$2:$C$300,Material_Series_Map!$A$2:$A$300,$B$8,Material_Series_Map!$B$2:$B$300,C23,Material_Series_Map!$G$2:$G$300,"Verified"))</f>
        <v/>
      </c>
      <c r="O23" s="27">
        <f>MIN(100,MAX(0,M23+N23))</f>
        <v/>
      </c>
      <c r="P23" s="27" t="s">
        <v>805</v>
      </c>
    </row>
    <row r="24">
      <c r="A24" s="125" t="s">
        <v>192</v>
      </c>
      <c r="B24" s="27" t="s">
        <v>193</v>
      </c>
      <c r="C24" s="125" t="s">
        <v>67</v>
      </c>
      <c r="D24" s="27">
        <f>Models!G15</f>
        <v/>
      </c>
      <c r="E24" s="27">
        <f>Models!H15</f>
        <v/>
      </c>
      <c r="F24" s="27">
        <f>Models!I15</f>
        <v/>
      </c>
      <c r="G24" s="27">
        <f>Models!K15</f>
        <v/>
      </c>
      <c r="H24" s="27">
        <f>Models!L15</f>
        <v/>
      </c>
      <c r="I24" s="27" t="s">
        <v>175</v>
      </c>
      <c r="J24" s="27">
        <f>IF(AND($B$4&gt;=D24,$B$4&lt;=E24),1,0)</f>
        <v/>
      </c>
      <c r="K24" s="27">
        <f>IF($B$5="",1,IF(F24="",1,IF($B$5&lt;=F24,1,0)))</f>
        <v/>
      </c>
      <c r="L24" s="27">
        <f>IF($B$6="",1,IF(AND($B$7=I24,$B$6&gt;=G24,$B$6&lt;=H24),1,0))</f>
        <v/>
      </c>
      <c r="M24" s="27">
        <f>J24*40+K24*20+L24*40</f>
        <v/>
      </c>
      <c r="N24" s="27">
        <f>IF($B$8="",0,SUMIFS(Material_Series_Map!$C$2:$C$300,Material_Series_Map!$A$2:$A$300,$B$8,Material_Series_Map!$B$2:$B$300,C24,Material_Series_Map!$G$2:$G$300,"Verified"))</f>
        <v/>
      </c>
      <c r="O24" s="27">
        <f>MIN(100,MAX(0,M24+N24))</f>
        <v/>
      </c>
      <c r="P24" s="27" t="s">
        <v>805</v>
      </c>
    </row>
    <row r="25">
      <c r="A25" s="125" t="s">
        <v>194</v>
      </c>
      <c r="B25" s="27" t="s">
        <v>195</v>
      </c>
      <c r="C25" s="125" t="s">
        <v>67</v>
      </c>
      <c r="D25" s="27">
        <f>Models!G16</f>
        <v/>
      </c>
      <c r="E25" s="27">
        <f>Models!H16</f>
        <v/>
      </c>
      <c r="F25" s="27">
        <f>Models!I16</f>
        <v/>
      </c>
      <c r="G25" s="27">
        <f>Models!K16</f>
        <v/>
      </c>
      <c r="H25" s="27">
        <f>Models!L16</f>
        <v/>
      </c>
      <c r="I25" s="27" t="s">
        <v>175</v>
      </c>
      <c r="J25" s="27">
        <f>IF(AND($B$4&gt;=D25,$B$4&lt;=E25),1,0)</f>
        <v/>
      </c>
      <c r="K25" s="27">
        <f>IF($B$5="",1,IF(F25="",1,IF($B$5&lt;=F25,1,0)))</f>
        <v/>
      </c>
      <c r="L25" s="27">
        <f>IF($B$6="",1,IF(AND($B$7=I25,$B$6&gt;=G25,$B$6&lt;=H25),1,0))</f>
        <v/>
      </c>
      <c r="M25" s="27">
        <f>J25*40+K25*20+L25*40</f>
        <v/>
      </c>
      <c r="N25" s="27">
        <f>IF($B$8="",0,SUMIFS(Material_Series_Map!$C$2:$C$300,Material_Series_Map!$A$2:$A$300,$B$8,Material_Series_Map!$B$2:$B$300,C25,Material_Series_Map!$G$2:$G$300,"Verified"))</f>
        <v/>
      </c>
      <c r="O25" s="27">
        <f>MIN(100,MAX(0,M25+N25))</f>
        <v/>
      </c>
      <c r="P25" s="27" t="s">
        <v>806</v>
      </c>
    </row>
    <row r="26">
      <c r="A26" s="125" t="s">
        <v>196</v>
      </c>
      <c r="B26" s="27" t="s">
        <v>197</v>
      </c>
      <c r="C26" s="125" t="s">
        <v>67</v>
      </c>
      <c r="D26" s="27">
        <f>Models!G17</f>
        <v/>
      </c>
      <c r="E26" s="27">
        <f>Models!H17</f>
        <v/>
      </c>
      <c r="F26" s="27">
        <f>Models!I17</f>
        <v/>
      </c>
      <c r="G26" s="27">
        <f>Models!K17</f>
        <v/>
      </c>
      <c r="H26" s="27">
        <f>Models!L17</f>
        <v/>
      </c>
      <c r="I26" s="27" t="s">
        <v>175</v>
      </c>
      <c r="J26" s="27">
        <f>IF(AND($B$4&gt;=D26,$B$4&lt;=E26),1,0)</f>
        <v/>
      </c>
      <c r="K26" s="27">
        <f>IF($B$5="",1,IF(F26="",1,IF($B$5&lt;=F26,1,0)))</f>
        <v/>
      </c>
      <c r="L26" s="27">
        <f>IF($B$6="",1,IF(AND($B$7=I26,$B$6&gt;=G26,$B$6&lt;=H26),1,0))</f>
        <v/>
      </c>
      <c r="M26" s="27">
        <f>J26*40+K26*20+L26*40</f>
        <v/>
      </c>
      <c r="N26" s="27">
        <f>IF($B$8="",0,SUMIFS(Material_Series_Map!$C$2:$C$300,Material_Series_Map!$A$2:$A$300,$B$8,Material_Series_Map!$B$2:$B$300,C26,Material_Series_Map!$G$2:$G$300,"Verified"))</f>
        <v/>
      </c>
      <c r="O26" s="27">
        <f>MIN(100,MAX(0,M26+N26))</f>
        <v/>
      </c>
      <c r="P26" s="27" t="s">
        <v>806</v>
      </c>
    </row>
    <row r="27">
      <c r="A27" s="125" t="s">
        <v>198</v>
      </c>
      <c r="B27" s="27" t="s">
        <v>199</v>
      </c>
      <c r="C27" s="125" t="s">
        <v>67</v>
      </c>
      <c r="D27" s="27">
        <f>Models!G18</f>
        <v/>
      </c>
      <c r="E27" s="27">
        <f>Models!H18</f>
        <v/>
      </c>
      <c r="F27" s="27">
        <f>Models!I18</f>
        <v/>
      </c>
      <c r="G27" s="27">
        <f>Models!K18</f>
        <v/>
      </c>
      <c r="H27" s="27">
        <f>Models!L18</f>
        <v/>
      </c>
      <c r="I27" s="27" t="s">
        <v>175</v>
      </c>
      <c r="J27" s="27">
        <f>IF(AND($B$4&gt;=D27,$B$4&lt;=E27),1,0)</f>
        <v/>
      </c>
      <c r="K27" s="27">
        <f>IF($B$5="",1,IF(F27="",1,IF($B$5&lt;=F27,1,0)))</f>
        <v/>
      </c>
      <c r="L27" s="27">
        <f>IF($B$6="",1,IF(AND($B$7=I27,$B$6&gt;=G27,$B$6&lt;=H27),1,0))</f>
        <v/>
      </c>
      <c r="M27" s="27">
        <f>J27*40+K27*20+L27*40</f>
        <v/>
      </c>
      <c r="N27" s="27">
        <f>IF($B$8="",0,SUMIFS(Material_Series_Map!$C$2:$C$300,Material_Series_Map!$A$2:$A$300,$B$8,Material_Series_Map!$B$2:$B$300,C27,Material_Series_Map!$G$2:$G$300,"Verified"))</f>
        <v/>
      </c>
      <c r="O27" s="27">
        <f>MIN(100,MAX(0,M27+N27))</f>
        <v/>
      </c>
      <c r="P27" s="27" t="s">
        <v>806</v>
      </c>
    </row>
    <row r="28">
      <c r="A28" s="125" t="s">
        <v>200</v>
      </c>
      <c r="B28" s="27" t="s">
        <v>201</v>
      </c>
      <c r="C28" s="125" t="s">
        <v>67</v>
      </c>
      <c r="D28" s="27">
        <f>Models!G19</f>
        <v/>
      </c>
      <c r="E28" s="27">
        <f>Models!H19</f>
        <v/>
      </c>
      <c r="F28" s="27">
        <f>Models!I19</f>
        <v/>
      </c>
      <c r="G28" s="27">
        <f>Models!K19</f>
        <v/>
      </c>
      <c r="H28" s="27">
        <f>Models!L19</f>
        <v/>
      </c>
      <c r="I28" s="27" t="s">
        <v>175</v>
      </c>
      <c r="J28" s="27">
        <f>IF(AND($B$4&gt;=D28,$B$4&lt;=E28),1,0)</f>
        <v/>
      </c>
      <c r="K28" s="27">
        <f>IF($B$5="",1,IF(F28="",1,IF($B$5&lt;=F28,1,0)))</f>
        <v/>
      </c>
      <c r="L28" s="27">
        <f>IF($B$6="",1,IF(AND($B$7=I28,$B$6&gt;=G28,$B$6&lt;=H28),1,0))</f>
        <v/>
      </c>
      <c r="M28" s="27">
        <f>J28*40+K28*20+L28*40</f>
        <v/>
      </c>
      <c r="N28" s="27">
        <f>IF($B$8="",0,SUMIFS(Material_Series_Map!$C$2:$C$300,Material_Series_Map!$A$2:$A$300,$B$8,Material_Series_Map!$B$2:$B$300,C28,Material_Series_Map!$G$2:$G$300,"Verified"))</f>
        <v/>
      </c>
      <c r="O28" s="27">
        <f>MIN(100,MAX(0,M28+N28))</f>
        <v/>
      </c>
      <c r="P28" s="27" t="s">
        <v>806</v>
      </c>
    </row>
    <row r="29">
      <c r="A29" s="125" t="s">
        <v>202</v>
      </c>
      <c r="B29" s="27" t="s">
        <v>203</v>
      </c>
      <c r="C29" s="125" t="s">
        <v>75</v>
      </c>
      <c r="D29" s="27">
        <f>Models!G20</f>
        <v/>
      </c>
      <c r="E29" s="27">
        <f>Models!H20</f>
        <v/>
      </c>
      <c r="F29" s="27">
        <f>Models!I20</f>
        <v/>
      </c>
      <c r="G29" s="27">
        <f>Models!K20</f>
        <v/>
      </c>
      <c r="H29" s="27">
        <f>Models!L20</f>
        <v/>
      </c>
      <c r="I29" s="27" t="s">
        <v>175</v>
      </c>
      <c r="J29" s="27">
        <f>IF(AND($B$4&gt;=D29,$B$4&lt;=E29),1,0)</f>
        <v/>
      </c>
      <c r="K29" s="27">
        <f>IF($B$5="",1,IF(F29="",1,IF($B$5&lt;=F29,1,0)))</f>
        <v/>
      </c>
      <c r="L29" s="27">
        <f>IF($B$6="",1,IF(AND($B$7=I29,$B$6&gt;=G29,$B$6&lt;=H29),1,0))</f>
        <v/>
      </c>
      <c r="M29" s="27">
        <f>J29*40+K29*20+L29*40</f>
        <v/>
      </c>
      <c r="N29" s="27">
        <f>IF($B$8="",0,SUMIFS(Material_Series_Map!$C$2:$C$300,Material_Series_Map!$A$2:$A$300,$B$8,Material_Series_Map!$B$2:$B$300,C29,Material_Series_Map!$G$2:$G$300,"Verified"))</f>
        <v/>
      </c>
      <c r="O29" s="27">
        <f>MIN(100,MAX(0,M29+N29))</f>
        <v/>
      </c>
      <c r="P29" s="27" t="s">
        <v>805</v>
      </c>
    </row>
    <row r="30">
      <c r="A30" s="125" t="s">
        <v>205</v>
      </c>
      <c r="B30" s="27" t="s">
        <v>206</v>
      </c>
      <c r="C30" s="125" t="s">
        <v>75</v>
      </c>
      <c r="D30" s="27">
        <f>Models!G21</f>
        <v/>
      </c>
      <c r="E30" s="27">
        <f>Models!H21</f>
        <v/>
      </c>
      <c r="F30" s="27">
        <f>Models!I21</f>
        <v/>
      </c>
      <c r="G30" s="27">
        <f>Models!K21</f>
        <v/>
      </c>
      <c r="H30" s="27">
        <f>Models!L21</f>
        <v/>
      </c>
      <c r="I30" s="27" t="s">
        <v>175</v>
      </c>
      <c r="J30" s="27">
        <f>IF(AND($B$4&gt;=D30,$B$4&lt;=E30),1,0)</f>
        <v/>
      </c>
      <c r="K30" s="27">
        <f>IF($B$5="",1,IF(F30="",1,IF($B$5&lt;=F30,1,0)))</f>
        <v/>
      </c>
      <c r="L30" s="27">
        <f>IF($B$6="",1,IF(AND($B$7=I30,$B$6&gt;=G30,$B$6&lt;=H30),1,0))</f>
        <v/>
      </c>
      <c r="M30" s="27">
        <f>J30*40+K30*20+L30*40</f>
        <v/>
      </c>
      <c r="N30" s="27">
        <f>IF($B$8="",0,SUMIFS(Material_Series_Map!$C$2:$C$300,Material_Series_Map!$A$2:$A$300,$B$8,Material_Series_Map!$B$2:$B$300,C30,Material_Series_Map!$G$2:$G$300,"Verified"))</f>
        <v/>
      </c>
      <c r="O30" s="27">
        <f>MIN(100,MAX(0,M30+N30))</f>
        <v/>
      </c>
      <c r="P30" s="27" t="s">
        <v>805</v>
      </c>
    </row>
    <row r="31">
      <c r="A31" s="125" t="s">
        <v>208</v>
      </c>
      <c r="B31" s="27" t="s">
        <v>209</v>
      </c>
      <c r="C31" s="125" t="s">
        <v>75</v>
      </c>
      <c r="D31" s="27">
        <f>Models!G22</f>
        <v/>
      </c>
      <c r="E31" s="27">
        <f>Models!H22</f>
        <v/>
      </c>
      <c r="F31" s="27">
        <f>Models!I22</f>
        <v/>
      </c>
      <c r="G31" s="27">
        <f>Models!K22</f>
        <v/>
      </c>
      <c r="H31" s="27">
        <f>Models!L22</f>
        <v/>
      </c>
      <c r="I31" s="27" t="s">
        <v>175</v>
      </c>
      <c r="J31" s="27">
        <f>IF(AND($B$4&gt;=D31,$B$4&lt;=E31),1,0)</f>
        <v/>
      </c>
      <c r="K31" s="27">
        <f>IF($B$5="",1,IF(F31="",1,IF($B$5&lt;=F31,1,0)))</f>
        <v/>
      </c>
      <c r="L31" s="27">
        <f>IF($B$6="",1,IF(AND($B$7=I31,$B$6&gt;=G31,$B$6&lt;=H31),1,0))</f>
        <v/>
      </c>
      <c r="M31" s="27">
        <f>J31*40+K31*20+L31*40</f>
        <v/>
      </c>
      <c r="N31" s="27">
        <f>IF($B$8="",0,SUMIFS(Material_Series_Map!$C$2:$C$300,Material_Series_Map!$A$2:$A$300,$B$8,Material_Series_Map!$B$2:$B$300,C31,Material_Series_Map!$G$2:$G$300,"Verified"))</f>
        <v/>
      </c>
      <c r="O31" s="27">
        <f>MIN(100,MAX(0,M31+N31))</f>
        <v/>
      </c>
      <c r="P31" s="27" t="s">
        <v>805</v>
      </c>
    </row>
    <row r="32">
      <c r="A32" s="125" t="s">
        <v>210</v>
      </c>
      <c r="B32" s="27" t="s">
        <v>211</v>
      </c>
      <c r="C32" s="125" t="s">
        <v>75</v>
      </c>
      <c r="D32" s="27">
        <f>Models!G23</f>
        <v/>
      </c>
      <c r="E32" s="27">
        <f>Models!H23</f>
        <v/>
      </c>
      <c r="F32" s="27">
        <f>Models!I23</f>
        <v/>
      </c>
      <c r="G32" s="27">
        <f>Models!K23</f>
        <v/>
      </c>
      <c r="H32" s="27">
        <f>Models!L23</f>
        <v/>
      </c>
      <c r="I32" s="27" t="s">
        <v>175</v>
      </c>
      <c r="J32" s="27">
        <f>IF(AND($B$4&gt;=D32,$B$4&lt;=E32),1,0)</f>
        <v/>
      </c>
      <c r="K32" s="27">
        <f>IF($B$5="",1,IF(F32="",1,IF($B$5&lt;=F32,1,0)))</f>
        <v/>
      </c>
      <c r="L32" s="27">
        <f>IF($B$6="",1,IF(AND($B$7=I32,$B$6&gt;=G32,$B$6&lt;=H32),1,0))</f>
        <v/>
      </c>
      <c r="M32" s="27">
        <f>J32*40+K32*20+L32*40</f>
        <v/>
      </c>
      <c r="N32" s="27">
        <f>IF($B$8="",0,SUMIFS(Material_Series_Map!$C$2:$C$300,Material_Series_Map!$A$2:$A$300,$B$8,Material_Series_Map!$B$2:$B$300,C32,Material_Series_Map!$G$2:$G$300,"Verified"))</f>
        <v/>
      </c>
      <c r="O32" s="27">
        <f>MIN(100,MAX(0,M32+N32))</f>
        <v/>
      </c>
      <c r="P32" s="27" t="s">
        <v>805</v>
      </c>
    </row>
    <row r="33">
      <c r="A33" s="125" t="s">
        <v>212</v>
      </c>
      <c r="B33" s="27" t="s">
        <v>213</v>
      </c>
      <c r="C33" s="125" t="s">
        <v>75</v>
      </c>
      <c r="D33" s="27">
        <f>Models!G24</f>
        <v/>
      </c>
      <c r="E33" s="27">
        <f>Models!H24</f>
        <v/>
      </c>
      <c r="F33" s="27">
        <f>Models!I24</f>
        <v/>
      </c>
      <c r="G33" s="27">
        <f>Models!K24</f>
        <v/>
      </c>
      <c r="H33" s="27">
        <f>Models!L24</f>
        <v/>
      </c>
      <c r="I33" s="27" t="s">
        <v>175</v>
      </c>
      <c r="J33" s="27">
        <f>IF(AND($B$4&gt;=D33,$B$4&lt;=E33),1,0)</f>
        <v/>
      </c>
      <c r="K33" s="27">
        <f>IF($B$5="",1,IF(F33="",1,IF($B$5&lt;=F33,1,0)))</f>
        <v/>
      </c>
      <c r="L33" s="27">
        <f>IF($B$6="",1,IF(AND($B$7=I33,$B$6&gt;=G33,$B$6&lt;=H33),1,0))</f>
        <v/>
      </c>
      <c r="M33" s="27">
        <f>J33*40+K33*20+L33*40</f>
        <v/>
      </c>
      <c r="N33" s="27">
        <f>IF($B$8="",0,SUMIFS(Material_Series_Map!$C$2:$C$300,Material_Series_Map!$A$2:$A$300,$B$8,Material_Series_Map!$B$2:$B$300,C33,Material_Series_Map!$G$2:$G$300,"Verified"))</f>
        <v/>
      </c>
      <c r="O33" s="27">
        <f>MIN(100,MAX(0,M33+N33))</f>
        <v/>
      </c>
      <c r="P33" s="27" t="s">
        <v>805</v>
      </c>
    </row>
    <row r="34">
      <c r="A34" s="125" t="s">
        <v>214</v>
      </c>
      <c r="B34" s="27" t="s">
        <v>215</v>
      </c>
      <c r="C34" s="125" t="s">
        <v>75</v>
      </c>
      <c r="D34" s="27">
        <f>Models!G25</f>
        <v/>
      </c>
      <c r="E34" s="27">
        <f>Models!H25</f>
        <v/>
      </c>
      <c r="F34" s="27">
        <f>Models!I25</f>
        <v/>
      </c>
      <c r="G34" s="27">
        <f>Models!K25</f>
        <v/>
      </c>
      <c r="H34" s="27">
        <f>Models!L25</f>
        <v/>
      </c>
      <c r="I34" s="27" t="s">
        <v>175</v>
      </c>
      <c r="J34" s="27">
        <f>IF(AND($B$4&gt;=D34,$B$4&lt;=E34),1,0)</f>
        <v/>
      </c>
      <c r="K34" s="27">
        <f>IF($B$5="",1,IF(F34="",1,IF($B$5&lt;=F34,1,0)))</f>
        <v/>
      </c>
      <c r="L34" s="27">
        <f>IF($B$6="",1,IF(AND($B$7=I34,$B$6&gt;=G34,$B$6&lt;=H34),1,0))</f>
        <v/>
      </c>
      <c r="M34" s="27">
        <f>J34*40+K34*20+L34*40</f>
        <v/>
      </c>
      <c r="N34" s="27">
        <f>IF($B$8="",0,SUMIFS(Material_Series_Map!$C$2:$C$300,Material_Series_Map!$A$2:$A$300,$B$8,Material_Series_Map!$B$2:$B$300,C34,Material_Series_Map!$G$2:$G$300,"Verified"))</f>
        <v/>
      </c>
      <c r="O34" s="27">
        <f>MIN(100,MAX(0,M34+N34))</f>
        <v/>
      </c>
      <c r="P34" s="27" t="s">
        <v>805</v>
      </c>
    </row>
    <row r="35">
      <c r="A35" s="125" t="s">
        <v>217</v>
      </c>
      <c r="B35" s="27" t="s">
        <v>218</v>
      </c>
      <c r="C35" s="125" t="s">
        <v>75</v>
      </c>
      <c r="D35" s="27">
        <f>Models!G26</f>
        <v/>
      </c>
      <c r="E35" s="27">
        <f>Models!H26</f>
        <v/>
      </c>
      <c r="F35" s="27">
        <f>Models!I26</f>
        <v/>
      </c>
      <c r="G35" s="27">
        <f>Models!K26</f>
        <v/>
      </c>
      <c r="H35" s="27">
        <f>Models!L26</f>
        <v/>
      </c>
      <c r="I35" s="27" t="s">
        <v>175</v>
      </c>
      <c r="J35" s="27">
        <f>IF(AND($B$4&gt;=D35,$B$4&lt;=E35),1,0)</f>
        <v/>
      </c>
      <c r="K35" s="27">
        <f>IF($B$5="",1,IF(F35="",1,IF($B$5&lt;=F35,1,0)))</f>
        <v/>
      </c>
      <c r="L35" s="27">
        <f>IF($B$6="",1,IF(AND($B$7=I35,$B$6&gt;=G35,$B$6&lt;=H35),1,0))</f>
        <v/>
      </c>
      <c r="M35" s="27">
        <f>J35*40+K35*20+L35*40</f>
        <v/>
      </c>
      <c r="N35" s="27">
        <f>IF($B$8="",0,SUMIFS(Material_Series_Map!$C$2:$C$300,Material_Series_Map!$A$2:$A$300,$B$8,Material_Series_Map!$B$2:$B$300,C35,Material_Series_Map!$G$2:$G$300,"Verified"))</f>
        <v/>
      </c>
      <c r="O35" s="27">
        <f>MIN(100,MAX(0,M35+N35))</f>
        <v/>
      </c>
      <c r="P35" s="27" t="s">
        <v>805</v>
      </c>
    </row>
    <row r="36">
      <c r="A36" s="125" t="s">
        <v>219</v>
      </c>
      <c r="B36" s="27" t="s">
        <v>220</v>
      </c>
      <c r="C36" s="125" t="s">
        <v>84</v>
      </c>
      <c r="D36" s="27">
        <f>Models!G27</f>
        <v/>
      </c>
      <c r="E36" s="27">
        <f>Models!H27</f>
        <v/>
      </c>
      <c r="F36" s="27">
        <f>Models!I27</f>
        <v/>
      </c>
      <c r="G36" s="27">
        <f>Models!K27</f>
        <v/>
      </c>
      <c r="H36" s="27">
        <f>Models!L27</f>
        <v/>
      </c>
      <c r="I36" s="27" t="s">
        <v>175</v>
      </c>
      <c r="J36" s="27">
        <f>IF(AND($B$4&gt;=D36,$B$4&lt;=E36),1,0)</f>
        <v/>
      </c>
      <c r="K36" s="27">
        <f>IF($B$5="",1,IF(F36="",1,IF($B$5&lt;=F36,1,0)))</f>
        <v/>
      </c>
      <c r="L36" s="27">
        <f>IF($B$6="",1,IF(AND($B$7=I36,$B$6&gt;=G36,$B$6&lt;=H36),1,0))</f>
        <v/>
      </c>
      <c r="M36" s="27">
        <f>J36*40+K36*20+L36*40</f>
        <v/>
      </c>
      <c r="N36" s="27">
        <f>IF($B$8="",0,SUMIFS(Material_Series_Map!$C$2:$C$300,Material_Series_Map!$A$2:$A$300,$B$8,Material_Series_Map!$B$2:$B$300,C36,Material_Series_Map!$G$2:$G$300,"Verified"))</f>
        <v/>
      </c>
      <c r="O36" s="27">
        <f>MIN(100,MAX(0,M36+N36))</f>
        <v/>
      </c>
      <c r="P36" s="27" t="s">
        <v>805</v>
      </c>
    </row>
    <row r="37">
      <c r="A37" s="125" t="s">
        <v>222</v>
      </c>
      <c r="B37" s="27" t="s">
        <v>223</v>
      </c>
      <c r="C37" s="125" t="s">
        <v>84</v>
      </c>
      <c r="D37" s="27">
        <f>Models!G28</f>
        <v/>
      </c>
      <c r="E37" s="27">
        <f>Models!H28</f>
        <v/>
      </c>
      <c r="F37" s="27">
        <f>Models!I28</f>
        <v/>
      </c>
      <c r="G37" s="27">
        <f>Models!K28</f>
        <v/>
      </c>
      <c r="H37" s="27">
        <f>Models!L28</f>
        <v/>
      </c>
      <c r="I37" s="27" t="s">
        <v>175</v>
      </c>
      <c r="J37" s="27">
        <f>IF(AND($B$4&gt;=D37,$B$4&lt;=E37),1,0)</f>
        <v/>
      </c>
      <c r="K37" s="27">
        <f>IF($B$5="",1,IF(F37="",1,IF($B$5&lt;=F37,1,0)))</f>
        <v/>
      </c>
      <c r="L37" s="27">
        <f>IF($B$6="",1,IF(AND($B$7=I37,$B$6&gt;=G37,$B$6&lt;=H37),1,0))</f>
        <v/>
      </c>
      <c r="M37" s="27">
        <f>J37*40+K37*20+L37*40</f>
        <v/>
      </c>
      <c r="N37" s="27">
        <f>IF($B$8="",0,SUMIFS(Material_Series_Map!$C$2:$C$300,Material_Series_Map!$A$2:$A$300,$B$8,Material_Series_Map!$B$2:$B$300,C37,Material_Series_Map!$G$2:$G$300,"Verified"))</f>
        <v/>
      </c>
      <c r="O37" s="27">
        <f>MIN(100,MAX(0,M37+N37))</f>
        <v/>
      </c>
      <c r="P37" s="27" t="s">
        <v>806</v>
      </c>
    </row>
    <row r="38">
      <c r="A38" s="125" t="s">
        <v>224</v>
      </c>
      <c r="B38" s="27" t="s">
        <v>225</v>
      </c>
      <c r="C38" s="125" t="s">
        <v>84</v>
      </c>
      <c r="D38" s="27">
        <f>Models!G29</f>
        <v/>
      </c>
      <c r="E38" s="27">
        <f>Models!H29</f>
        <v/>
      </c>
      <c r="F38" s="27">
        <f>Models!I29</f>
        <v/>
      </c>
      <c r="G38" s="27">
        <f>Models!K29</f>
        <v/>
      </c>
      <c r="H38" s="27">
        <f>Models!L29</f>
        <v/>
      </c>
      <c r="I38" s="27" t="s">
        <v>175</v>
      </c>
      <c r="J38" s="27">
        <f>IF(AND($B$4&gt;=D38,$B$4&lt;=E38),1,0)</f>
        <v/>
      </c>
      <c r="K38" s="27">
        <f>IF($B$5="",1,IF(F38="",1,IF($B$5&lt;=F38,1,0)))</f>
        <v/>
      </c>
      <c r="L38" s="27">
        <f>IF($B$6="",1,IF(AND($B$7=I38,$B$6&gt;=G38,$B$6&lt;=H38),1,0))</f>
        <v/>
      </c>
      <c r="M38" s="27">
        <f>J38*40+K38*20+L38*40</f>
        <v/>
      </c>
      <c r="N38" s="27">
        <f>IF($B$8="",0,SUMIFS(Material_Series_Map!$C$2:$C$300,Material_Series_Map!$A$2:$A$300,$B$8,Material_Series_Map!$B$2:$B$300,C38,Material_Series_Map!$G$2:$G$300,"Verified"))</f>
        <v/>
      </c>
      <c r="O38" s="27">
        <f>MIN(100,MAX(0,M38+N38))</f>
        <v/>
      </c>
      <c r="P38" s="27" t="s">
        <v>806</v>
      </c>
    </row>
    <row r="39">
      <c r="A39" s="125" t="s">
        <v>226</v>
      </c>
      <c r="B39" s="27" t="s">
        <v>227</v>
      </c>
      <c r="C39" s="125" t="s">
        <v>84</v>
      </c>
      <c r="D39" s="27">
        <f>Models!G30</f>
        <v/>
      </c>
      <c r="E39" s="27">
        <f>Models!H30</f>
        <v/>
      </c>
      <c r="F39" s="27">
        <f>Models!I30</f>
        <v/>
      </c>
      <c r="G39" s="27">
        <f>Models!K30</f>
        <v/>
      </c>
      <c r="H39" s="27">
        <f>Models!L30</f>
        <v/>
      </c>
      <c r="I39" s="27" t="s">
        <v>175</v>
      </c>
      <c r="J39" s="27">
        <f>IF(AND($B$4&gt;=D39,$B$4&lt;=E39),1,0)</f>
        <v/>
      </c>
      <c r="K39" s="27">
        <f>IF($B$5="",1,IF(F39="",1,IF($B$5&lt;=F39,1,0)))</f>
        <v/>
      </c>
      <c r="L39" s="27">
        <f>IF($B$6="",1,IF(AND($B$7=I39,$B$6&gt;=G39,$B$6&lt;=H39),1,0))</f>
        <v/>
      </c>
      <c r="M39" s="27">
        <f>J39*40+K39*20+L39*40</f>
        <v/>
      </c>
      <c r="N39" s="27">
        <f>IF($B$8="",0,SUMIFS(Material_Series_Map!$C$2:$C$300,Material_Series_Map!$A$2:$A$300,$B$8,Material_Series_Map!$B$2:$B$300,C39,Material_Series_Map!$G$2:$G$300,"Verified"))</f>
        <v/>
      </c>
      <c r="O39" s="27">
        <f>MIN(100,MAX(0,M39+N39))</f>
        <v/>
      </c>
      <c r="P39" s="27" t="s">
        <v>806</v>
      </c>
    </row>
    <row r="40">
      <c r="A40" s="125" t="s">
        <v>228</v>
      </c>
      <c r="B40" s="27" t="s">
        <v>229</v>
      </c>
      <c r="C40" s="125" t="s">
        <v>84</v>
      </c>
      <c r="D40" s="27">
        <f>Models!G31</f>
        <v/>
      </c>
      <c r="E40" s="27">
        <f>Models!H31</f>
        <v/>
      </c>
      <c r="F40" s="27">
        <f>Models!I31</f>
        <v/>
      </c>
      <c r="G40" s="27">
        <f>Models!K31</f>
        <v/>
      </c>
      <c r="H40" s="27">
        <f>Models!L31</f>
        <v/>
      </c>
      <c r="I40" s="27" t="s">
        <v>175</v>
      </c>
      <c r="J40" s="27">
        <f>IF(AND($B$4&gt;=D40,$B$4&lt;=E40),1,0)</f>
        <v/>
      </c>
      <c r="K40" s="27">
        <f>IF($B$5="",1,IF(F40="",1,IF($B$5&lt;=F40,1,0)))</f>
        <v/>
      </c>
      <c r="L40" s="27">
        <f>IF($B$6="",1,IF(AND($B$7=I40,$B$6&gt;=G40,$B$6&lt;=H40),1,0))</f>
        <v/>
      </c>
      <c r="M40" s="27">
        <f>J40*40+K40*20+L40*40</f>
        <v/>
      </c>
      <c r="N40" s="27">
        <f>IF($B$8="",0,SUMIFS(Material_Series_Map!$C$2:$C$300,Material_Series_Map!$A$2:$A$300,$B$8,Material_Series_Map!$B$2:$B$300,C40,Material_Series_Map!$G$2:$G$300,"Verified"))</f>
        <v/>
      </c>
      <c r="O40" s="27">
        <f>MIN(100,MAX(0,M40+N40))</f>
        <v/>
      </c>
      <c r="P40" s="27" t="s">
        <v>806</v>
      </c>
    </row>
    <row r="41">
      <c r="A41" s="125" t="s">
        <v>231</v>
      </c>
      <c r="B41" s="27" t="s">
        <v>232</v>
      </c>
      <c r="C41" s="125" t="s">
        <v>93</v>
      </c>
      <c r="D41" s="27">
        <f>Models!G32</f>
        <v/>
      </c>
      <c r="E41" s="27">
        <f>Models!H32</f>
        <v/>
      </c>
      <c r="F41" s="27">
        <f>Models!I32</f>
        <v/>
      </c>
      <c r="G41" s="27">
        <f>Models!K32</f>
        <v/>
      </c>
      <c r="H41" s="27">
        <f>Models!L32</f>
        <v/>
      </c>
      <c r="I41" s="27" t="s">
        <v>175</v>
      </c>
      <c r="J41" s="27">
        <f>IF(AND($B$4&gt;=D41,$B$4&lt;=E41),1,0)</f>
        <v/>
      </c>
      <c r="K41" s="27">
        <f>IF($B$5="",1,IF(F41="",1,IF($B$5&lt;=F41,1,0)))</f>
        <v/>
      </c>
      <c r="L41" s="27">
        <f>IF($B$6="",1,IF(AND($B$7=I41,$B$6&gt;=G41,$B$6&lt;=H41),1,0))</f>
        <v/>
      </c>
      <c r="M41" s="27">
        <f>J41*40+K41*20+L41*40</f>
        <v/>
      </c>
      <c r="N41" s="27">
        <f>IF($B$8="",0,SUMIFS(Material_Series_Map!$C$2:$C$300,Material_Series_Map!$A$2:$A$300,$B$8,Material_Series_Map!$B$2:$B$300,C41,Material_Series_Map!$G$2:$G$300,"Verified"))</f>
        <v/>
      </c>
      <c r="O41" s="27">
        <f>MIN(100,MAX(0,M41+N41))</f>
        <v/>
      </c>
      <c r="P41" s="27" t="s">
        <v>805</v>
      </c>
    </row>
    <row r="42">
      <c r="A42" s="125" t="s">
        <v>233</v>
      </c>
      <c r="B42" s="27" t="s">
        <v>234</v>
      </c>
      <c r="C42" s="125" t="s">
        <v>93</v>
      </c>
      <c r="D42" s="27">
        <f>Models!G33</f>
        <v/>
      </c>
      <c r="E42" s="27">
        <f>Models!H33</f>
        <v/>
      </c>
      <c r="F42" s="27">
        <f>Models!I33</f>
        <v/>
      </c>
      <c r="G42" s="27">
        <f>Models!K33</f>
        <v/>
      </c>
      <c r="H42" s="27">
        <f>Models!L33</f>
        <v/>
      </c>
      <c r="I42" s="27" t="s">
        <v>175</v>
      </c>
      <c r="J42" s="27">
        <f>IF(AND($B$4&gt;=D42,$B$4&lt;=E42),1,0)</f>
        <v/>
      </c>
      <c r="K42" s="27">
        <f>IF($B$5="",1,IF(F42="",1,IF($B$5&lt;=F42,1,0)))</f>
        <v/>
      </c>
      <c r="L42" s="27">
        <f>IF($B$6="",1,IF(AND($B$7=I42,$B$6&gt;=G42,$B$6&lt;=H42),1,0))</f>
        <v/>
      </c>
      <c r="M42" s="27">
        <f>J42*40+K42*20+L42*40</f>
        <v/>
      </c>
      <c r="N42" s="27">
        <f>IF($B$8="",0,SUMIFS(Material_Series_Map!$C$2:$C$300,Material_Series_Map!$A$2:$A$300,$B$8,Material_Series_Map!$B$2:$B$300,C42,Material_Series_Map!$G$2:$G$300,"Verified"))</f>
        <v/>
      </c>
      <c r="O42" s="27">
        <f>MIN(100,MAX(0,M42+N42))</f>
        <v/>
      </c>
      <c r="P42" s="27" t="s">
        <v>805</v>
      </c>
    </row>
    <row r="43">
      <c r="A43" s="125" t="s">
        <v>235</v>
      </c>
      <c r="B43" s="27" t="s">
        <v>236</v>
      </c>
      <c r="C43" s="125" t="s">
        <v>93</v>
      </c>
      <c r="D43" s="27">
        <f>Models!G34</f>
        <v/>
      </c>
      <c r="E43" s="27">
        <f>Models!H34</f>
        <v/>
      </c>
      <c r="F43" s="27">
        <f>Models!I34</f>
        <v/>
      </c>
      <c r="G43" s="27">
        <f>Models!K34</f>
        <v/>
      </c>
      <c r="H43" s="27">
        <f>Models!L34</f>
        <v/>
      </c>
      <c r="I43" s="27" t="s">
        <v>175</v>
      </c>
      <c r="J43" s="27">
        <f>IF(AND($B$4&gt;=D43,$B$4&lt;=E43),1,0)</f>
        <v/>
      </c>
      <c r="K43" s="27">
        <f>IF($B$5="",1,IF(F43="",1,IF($B$5&lt;=F43,1,0)))</f>
        <v/>
      </c>
      <c r="L43" s="27">
        <f>IF($B$6="",1,IF(AND($B$7=I43,$B$6&gt;=G43,$B$6&lt;=H43),1,0))</f>
        <v/>
      </c>
      <c r="M43" s="27">
        <f>J43*40+K43*20+L43*40</f>
        <v/>
      </c>
      <c r="N43" s="27">
        <f>IF($B$8="",0,SUMIFS(Material_Series_Map!$C$2:$C$300,Material_Series_Map!$A$2:$A$300,$B$8,Material_Series_Map!$B$2:$B$300,C43,Material_Series_Map!$G$2:$G$300,"Verified"))</f>
        <v/>
      </c>
      <c r="O43" s="27">
        <f>MIN(100,MAX(0,M43+N43))</f>
        <v/>
      </c>
      <c r="P43" s="27" t="s">
        <v>805</v>
      </c>
    </row>
    <row r="44">
      <c r="A44" s="125" t="s">
        <v>237</v>
      </c>
      <c r="B44" s="27" t="s">
        <v>238</v>
      </c>
      <c r="C44" s="125" t="s">
        <v>93</v>
      </c>
      <c r="D44" s="27">
        <f>Models!G35</f>
        <v/>
      </c>
      <c r="E44" s="27">
        <f>Models!H35</f>
        <v/>
      </c>
      <c r="F44" s="27">
        <f>Models!I35</f>
        <v/>
      </c>
      <c r="G44" s="27">
        <f>Models!K35</f>
        <v/>
      </c>
      <c r="H44" s="27">
        <f>Models!L35</f>
        <v/>
      </c>
      <c r="I44" s="27" t="s">
        <v>175</v>
      </c>
      <c r="J44" s="27">
        <f>IF(AND($B$4&gt;=D44,$B$4&lt;=E44),1,0)</f>
        <v/>
      </c>
      <c r="K44" s="27">
        <f>IF($B$5="",1,IF(F44="",1,IF($B$5&lt;=F44,1,0)))</f>
        <v/>
      </c>
      <c r="L44" s="27">
        <f>IF($B$6="",1,IF(AND($B$7=I44,$B$6&gt;=G44,$B$6&lt;=H44),1,0))</f>
        <v/>
      </c>
      <c r="M44" s="27">
        <f>J44*40+K44*20+L44*40</f>
        <v/>
      </c>
      <c r="N44" s="27">
        <f>IF($B$8="",0,SUMIFS(Material_Series_Map!$C$2:$C$300,Material_Series_Map!$A$2:$A$300,$B$8,Material_Series_Map!$B$2:$B$300,C44,Material_Series_Map!$G$2:$G$300,"Verified"))</f>
        <v/>
      </c>
      <c r="O44" s="27">
        <f>MIN(100,MAX(0,M44+N44))</f>
        <v/>
      </c>
      <c r="P44" s="27" t="s">
        <v>805</v>
      </c>
    </row>
    <row r="45">
      <c r="A45" s="125" t="s">
        <v>239</v>
      </c>
      <c r="B45" s="27" t="s">
        <v>240</v>
      </c>
      <c r="C45" s="125" t="s">
        <v>93</v>
      </c>
      <c r="D45" s="27">
        <f>Models!G36</f>
        <v/>
      </c>
      <c r="E45" s="27">
        <f>Models!H36</f>
        <v/>
      </c>
      <c r="F45" s="27">
        <f>Models!I36</f>
        <v/>
      </c>
      <c r="G45" s="27">
        <f>Models!K36</f>
        <v/>
      </c>
      <c r="H45" s="27">
        <f>Models!L36</f>
        <v/>
      </c>
      <c r="I45" s="27" t="s">
        <v>175</v>
      </c>
      <c r="J45" s="27">
        <f>IF(AND($B$4&gt;=D45,$B$4&lt;=E45),1,0)</f>
        <v/>
      </c>
      <c r="K45" s="27">
        <f>IF($B$5="",1,IF(F45="",1,IF($B$5&lt;=F45,1,0)))</f>
        <v/>
      </c>
      <c r="L45" s="27">
        <f>IF($B$6="",1,IF(AND($B$7=I45,$B$6&gt;=G45,$B$6&lt;=H45),1,0))</f>
        <v/>
      </c>
      <c r="M45" s="27">
        <f>J45*40+K45*20+L45*40</f>
        <v/>
      </c>
      <c r="N45" s="27">
        <f>IF($B$8="",0,SUMIFS(Material_Series_Map!$C$2:$C$300,Material_Series_Map!$A$2:$A$300,$B$8,Material_Series_Map!$B$2:$B$300,C45,Material_Series_Map!$G$2:$G$300,"Verified"))</f>
        <v/>
      </c>
      <c r="O45" s="27">
        <f>MIN(100,MAX(0,M45+N45))</f>
        <v/>
      </c>
      <c r="P45" s="27" t="s">
        <v>806</v>
      </c>
    </row>
    <row r="46">
      <c r="A46" s="125" t="s">
        <v>241</v>
      </c>
      <c r="B46" s="27" t="s">
        <v>242</v>
      </c>
      <c r="C46" s="125" t="s">
        <v>93</v>
      </c>
      <c r="D46" s="27">
        <f>Models!G37</f>
        <v/>
      </c>
      <c r="E46" s="27">
        <f>Models!H37</f>
        <v/>
      </c>
      <c r="F46" s="27">
        <f>Models!I37</f>
        <v/>
      </c>
      <c r="G46" s="27">
        <f>Models!K37</f>
        <v/>
      </c>
      <c r="H46" s="27">
        <f>Models!L37</f>
        <v/>
      </c>
      <c r="I46" s="27" t="s">
        <v>175</v>
      </c>
      <c r="J46" s="27">
        <f>IF(AND($B$4&gt;=D46,$B$4&lt;=E46),1,0)</f>
        <v/>
      </c>
      <c r="K46" s="27">
        <f>IF($B$5="",1,IF(F46="",1,IF($B$5&lt;=F46,1,0)))</f>
        <v/>
      </c>
      <c r="L46" s="27">
        <f>IF($B$6="",1,IF(AND($B$7=I46,$B$6&gt;=G46,$B$6&lt;=H46),1,0))</f>
        <v/>
      </c>
      <c r="M46" s="27">
        <f>J46*40+K46*20+L46*40</f>
        <v/>
      </c>
      <c r="N46" s="27">
        <f>IF($B$8="",0,SUMIFS(Material_Series_Map!$C$2:$C$300,Material_Series_Map!$A$2:$A$300,$B$8,Material_Series_Map!$B$2:$B$300,C46,Material_Series_Map!$G$2:$G$300,"Verified"))</f>
        <v/>
      </c>
      <c r="O46" s="27">
        <f>MIN(100,MAX(0,M46+N46))</f>
        <v/>
      </c>
      <c r="P46" s="27" t="s">
        <v>806</v>
      </c>
    </row>
    <row r="47">
      <c r="A47" s="125" t="s">
        <v>243</v>
      </c>
      <c r="B47" s="27" t="s">
        <v>244</v>
      </c>
      <c r="C47" s="125" t="s">
        <v>93</v>
      </c>
      <c r="D47" s="27">
        <f>Models!G38</f>
        <v/>
      </c>
      <c r="E47" s="27">
        <f>Models!H38</f>
        <v/>
      </c>
      <c r="F47" s="27">
        <f>Models!I38</f>
        <v/>
      </c>
      <c r="G47" s="27">
        <f>Models!K38</f>
        <v/>
      </c>
      <c r="H47" s="27">
        <f>Models!L38</f>
        <v/>
      </c>
      <c r="I47" s="27" t="s">
        <v>175</v>
      </c>
      <c r="J47" s="27">
        <f>IF(AND($B$4&gt;=D47,$B$4&lt;=E47),1,0)</f>
        <v/>
      </c>
      <c r="K47" s="27">
        <f>IF($B$5="",1,IF(F47="",1,IF($B$5&lt;=F47,1,0)))</f>
        <v/>
      </c>
      <c r="L47" s="27">
        <f>IF($B$6="",1,IF(AND($B$7=I47,$B$6&gt;=G47,$B$6&lt;=H47),1,0))</f>
        <v/>
      </c>
      <c r="M47" s="27">
        <f>J47*40+K47*20+L47*40</f>
        <v/>
      </c>
      <c r="N47" s="27">
        <f>IF($B$8="",0,SUMIFS(Material_Series_Map!$C$2:$C$300,Material_Series_Map!$A$2:$A$300,$B$8,Material_Series_Map!$B$2:$B$300,C47,Material_Series_Map!$G$2:$G$300,"Verified"))</f>
        <v/>
      </c>
      <c r="O47" s="27">
        <f>MIN(100,MAX(0,M47+N47))</f>
        <v/>
      </c>
      <c r="P47" s="27" t="s">
        <v>806</v>
      </c>
    </row>
    <row r="48">
      <c r="A48" s="125" t="s">
        <v>245</v>
      </c>
      <c r="B48" s="27" t="s">
        <v>246</v>
      </c>
      <c r="C48" s="125" t="s">
        <v>93</v>
      </c>
      <c r="D48" s="27">
        <f>Models!G39</f>
        <v/>
      </c>
      <c r="E48" s="27">
        <f>Models!H39</f>
        <v/>
      </c>
      <c r="F48" s="27">
        <f>Models!I39</f>
        <v/>
      </c>
      <c r="G48" s="27">
        <f>Models!K39</f>
        <v/>
      </c>
      <c r="H48" s="27">
        <f>Models!L39</f>
        <v/>
      </c>
      <c r="I48" s="27" t="s">
        <v>175</v>
      </c>
      <c r="J48" s="27">
        <f>IF(AND($B$4&gt;=D48,$B$4&lt;=E48),1,0)</f>
        <v/>
      </c>
      <c r="K48" s="27">
        <f>IF($B$5="",1,IF(F48="",1,IF($B$5&lt;=F48,1,0)))</f>
        <v/>
      </c>
      <c r="L48" s="27">
        <f>IF($B$6="",1,IF(AND($B$7=I48,$B$6&gt;=G48,$B$6&lt;=H48),1,0))</f>
        <v/>
      </c>
      <c r="M48" s="27">
        <f>J48*40+K48*20+L48*40</f>
        <v/>
      </c>
      <c r="N48" s="27">
        <f>IF($B$8="",0,SUMIFS(Material_Series_Map!$C$2:$C$300,Material_Series_Map!$A$2:$A$300,$B$8,Material_Series_Map!$B$2:$B$300,C48,Material_Series_Map!$G$2:$G$300,"Verified"))</f>
        <v/>
      </c>
      <c r="O48" s="27">
        <f>MIN(100,MAX(0,M48+N48))</f>
        <v/>
      </c>
      <c r="P48" s="27" t="s">
        <v>806</v>
      </c>
    </row>
    <row r="49">
      <c r="A49" s="125" t="s">
        <v>247</v>
      </c>
      <c r="B49" s="27" t="s">
        <v>248</v>
      </c>
      <c r="C49" s="125" t="s">
        <v>102</v>
      </c>
      <c r="D49" s="27">
        <f>Models!G40</f>
        <v/>
      </c>
      <c r="E49" s="27">
        <f>Models!H40</f>
        <v/>
      </c>
      <c r="F49" s="27">
        <f>Models!I40</f>
        <v/>
      </c>
      <c r="G49" s="27">
        <f>Models!K40</f>
        <v/>
      </c>
      <c r="H49" s="27">
        <f>Models!L40</f>
        <v/>
      </c>
      <c r="I49" s="27" t="s">
        <v>175</v>
      </c>
      <c r="J49" s="27">
        <f>IF(AND($B$4&gt;=D49,$B$4&lt;=E49),1,0)</f>
        <v/>
      </c>
      <c r="K49" s="27">
        <f>IF($B$5="",1,IF(F49="",1,IF($B$5&lt;=F49,1,0)))</f>
        <v/>
      </c>
      <c r="L49" s="27">
        <f>IF($B$6="",1,IF(AND($B$7=I49,$B$6&gt;=G49,$B$6&lt;=H49),1,0))</f>
        <v/>
      </c>
      <c r="M49" s="27">
        <f>J49*40+K49*20+L49*40</f>
        <v/>
      </c>
      <c r="N49" s="27">
        <f>IF($B$8="",0,SUMIFS(Material_Series_Map!$C$2:$C$300,Material_Series_Map!$A$2:$A$300,$B$8,Material_Series_Map!$B$2:$B$300,C49,Material_Series_Map!$G$2:$G$300,"Verified"))</f>
        <v/>
      </c>
      <c r="O49" s="27">
        <f>MIN(100,MAX(0,M49+N49))</f>
        <v/>
      </c>
      <c r="P49" s="27" t="s">
        <v>805</v>
      </c>
    </row>
    <row r="50">
      <c r="A50" s="125" t="s">
        <v>249</v>
      </c>
      <c r="B50" s="27" t="s">
        <v>250</v>
      </c>
      <c r="C50" s="125" t="s">
        <v>102</v>
      </c>
      <c r="D50" s="27">
        <f>Models!G41</f>
        <v/>
      </c>
      <c r="E50" s="27">
        <f>Models!H41</f>
        <v/>
      </c>
      <c r="F50" s="27">
        <f>Models!I41</f>
        <v/>
      </c>
      <c r="G50" s="27">
        <f>Models!K41</f>
        <v/>
      </c>
      <c r="H50" s="27">
        <f>Models!L41</f>
        <v/>
      </c>
      <c r="I50" s="27" t="s">
        <v>175</v>
      </c>
      <c r="J50" s="27">
        <f>IF(AND($B$4&gt;=D50,$B$4&lt;=E50),1,0)</f>
        <v/>
      </c>
      <c r="K50" s="27">
        <f>IF($B$5="",1,IF(F50="",1,IF($B$5&lt;=F50,1,0)))</f>
        <v/>
      </c>
      <c r="L50" s="27">
        <f>IF($B$6="",1,IF(AND($B$7=I50,$B$6&gt;=G50,$B$6&lt;=H50),1,0))</f>
        <v/>
      </c>
      <c r="M50" s="27">
        <f>J50*40+K50*20+L50*40</f>
        <v/>
      </c>
      <c r="N50" s="27">
        <f>IF($B$8="",0,SUMIFS(Material_Series_Map!$C$2:$C$300,Material_Series_Map!$A$2:$A$300,$B$8,Material_Series_Map!$B$2:$B$300,C50,Material_Series_Map!$G$2:$G$300,"Verified"))</f>
        <v/>
      </c>
      <c r="O50" s="27">
        <f>MIN(100,MAX(0,M50+N50))</f>
        <v/>
      </c>
      <c r="P50" s="27" t="s">
        <v>805</v>
      </c>
    </row>
    <row r="51">
      <c r="A51" s="125" t="s">
        <v>251</v>
      </c>
      <c r="B51" s="27" t="s">
        <v>252</v>
      </c>
      <c r="C51" s="125" t="s">
        <v>102</v>
      </c>
      <c r="D51" s="27">
        <f>Models!G42</f>
        <v/>
      </c>
      <c r="E51" s="27">
        <f>Models!H42</f>
        <v/>
      </c>
      <c r="F51" s="27">
        <f>Models!I42</f>
        <v/>
      </c>
      <c r="G51" s="27">
        <f>Models!K42</f>
        <v/>
      </c>
      <c r="H51" s="27">
        <f>Models!L42</f>
        <v/>
      </c>
      <c r="I51" s="27" t="s">
        <v>175</v>
      </c>
      <c r="J51" s="27">
        <f>IF(AND($B$4&gt;=D51,$B$4&lt;=E51),1,0)</f>
        <v/>
      </c>
      <c r="K51" s="27">
        <f>IF($B$5="",1,IF(F51="",1,IF($B$5&lt;=F51,1,0)))</f>
        <v/>
      </c>
      <c r="L51" s="27">
        <f>IF($B$6="",1,IF(AND($B$7=I51,$B$6&gt;=G51,$B$6&lt;=H51),1,0))</f>
        <v/>
      </c>
      <c r="M51" s="27">
        <f>J51*40+K51*20+L51*40</f>
        <v/>
      </c>
      <c r="N51" s="27">
        <f>IF($B$8="",0,SUMIFS(Material_Series_Map!$C$2:$C$300,Material_Series_Map!$A$2:$A$300,$B$8,Material_Series_Map!$B$2:$B$300,C51,Material_Series_Map!$G$2:$G$300,"Verified"))</f>
        <v/>
      </c>
      <c r="O51" s="27">
        <f>MIN(100,MAX(0,M51+N51))</f>
        <v/>
      </c>
      <c r="P51" s="27" t="s">
        <v>805</v>
      </c>
    </row>
    <row r="52">
      <c r="A52" s="125" t="s">
        <v>253</v>
      </c>
      <c r="B52" s="27" t="s">
        <v>254</v>
      </c>
      <c r="C52" s="125" t="s">
        <v>102</v>
      </c>
      <c r="D52" s="27">
        <f>Models!G43</f>
        <v/>
      </c>
      <c r="E52" s="27">
        <f>Models!H43</f>
        <v/>
      </c>
      <c r="F52" s="27">
        <f>Models!I43</f>
        <v/>
      </c>
      <c r="G52" s="27">
        <f>Models!K43</f>
        <v/>
      </c>
      <c r="H52" s="27">
        <f>Models!L43</f>
        <v/>
      </c>
      <c r="I52" s="27" t="s">
        <v>175</v>
      </c>
      <c r="J52" s="27">
        <f>IF(AND($B$4&gt;=D52,$B$4&lt;=E52),1,0)</f>
        <v/>
      </c>
      <c r="K52" s="27">
        <f>IF($B$5="",1,IF(F52="",1,IF($B$5&lt;=F52,1,0)))</f>
        <v/>
      </c>
      <c r="L52" s="27">
        <f>IF($B$6="",1,IF(AND($B$7=I52,$B$6&gt;=G52,$B$6&lt;=H52),1,0))</f>
        <v/>
      </c>
      <c r="M52" s="27">
        <f>J52*40+K52*20+L52*40</f>
        <v/>
      </c>
      <c r="N52" s="27">
        <f>IF($B$8="",0,SUMIFS(Material_Series_Map!$C$2:$C$300,Material_Series_Map!$A$2:$A$300,$B$8,Material_Series_Map!$B$2:$B$300,C52,Material_Series_Map!$G$2:$G$300,"Verified"))</f>
        <v/>
      </c>
      <c r="O52" s="27">
        <f>MIN(100,MAX(0,M52+N52))</f>
        <v/>
      </c>
      <c r="P52" s="27" t="s">
        <v>806</v>
      </c>
    </row>
    <row r="53">
      <c r="A53" s="125" t="s">
        <v>255</v>
      </c>
      <c r="B53" s="27" t="s">
        <v>256</v>
      </c>
      <c r="C53" s="125" t="s">
        <v>111</v>
      </c>
      <c r="D53" s="27">
        <f>Models!G44</f>
        <v/>
      </c>
      <c r="E53" s="27">
        <f>Models!H44</f>
        <v/>
      </c>
      <c r="F53" s="27">
        <f>Models!I44</f>
        <v/>
      </c>
      <c r="G53" s="27">
        <f>Models!K44</f>
        <v/>
      </c>
      <c r="H53" s="27">
        <f>Models!L44</f>
        <v/>
      </c>
      <c r="I53" s="27" t="s">
        <v>175</v>
      </c>
      <c r="J53" s="27">
        <f>IF(AND($B$4&gt;=D53,$B$4&lt;=E53),1,0)</f>
        <v/>
      </c>
      <c r="K53" s="27">
        <f>IF($B$5="",1,IF(F53="",1,IF($B$5&lt;=F53,1,0)))</f>
        <v/>
      </c>
      <c r="L53" s="27">
        <f>IF($B$6="",1,IF(AND($B$7=I53,$B$6&gt;=G53,$B$6&lt;=H53),1,0))</f>
        <v/>
      </c>
      <c r="M53" s="27">
        <f>J53*40+K53*20+L53*40</f>
        <v/>
      </c>
      <c r="N53" s="27">
        <f>IF($B$8="",0,SUMIFS(Material_Series_Map!$C$2:$C$300,Material_Series_Map!$A$2:$A$300,$B$8,Material_Series_Map!$B$2:$B$300,C53,Material_Series_Map!$G$2:$G$300,"Verified"))</f>
        <v/>
      </c>
      <c r="O53" s="27">
        <f>MIN(100,MAX(0,M53+N53))</f>
        <v/>
      </c>
      <c r="P53" s="27" t="s">
        <v>805</v>
      </c>
    </row>
    <row r="54">
      <c r="A54" s="125" t="s">
        <v>257</v>
      </c>
      <c r="B54" s="27" t="s">
        <v>258</v>
      </c>
      <c r="C54" s="125" t="s">
        <v>111</v>
      </c>
      <c r="D54" s="27">
        <f>Models!G45</f>
        <v/>
      </c>
      <c r="E54" s="27">
        <f>Models!H45</f>
        <v/>
      </c>
      <c r="F54" s="27">
        <f>Models!I45</f>
        <v/>
      </c>
      <c r="G54" s="27">
        <f>Models!K45</f>
        <v/>
      </c>
      <c r="H54" s="27">
        <f>Models!L45</f>
        <v/>
      </c>
      <c r="I54" s="27" t="s">
        <v>175</v>
      </c>
      <c r="J54" s="27">
        <f>IF(AND($B$4&gt;=D54,$B$4&lt;=E54),1,0)</f>
        <v/>
      </c>
      <c r="K54" s="27">
        <f>IF($B$5="",1,IF(F54="",1,IF($B$5&lt;=F54,1,0)))</f>
        <v/>
      </c>
      <c r="L54" s="27">
        <f>IF($B$6="",1,IF(AND($B$7=I54,$B$6&gt;=G54,$B$6&lt;=H54),1,0))</f>
        <v/>
      </c>
      <c r="M54" s="27">
        <f>J54*40+K54*20+L54*40</f>
        <v/>
      </c>
      <c r="N54" s="27">
        <f>IF($B$8="",0,SUMIFS(Material_Series_Map!$C$2:$C$300,Material_Series_Map!$A$2:$A$300,$B$8,Material_Series_Map!$B$2:$B$300,C54,Material_Series_Map!$G$2:$G$300,"Verified"))</f>
        <v/>
      </c>
      <c r="O54" s="27">
        <f>MIN(100,MAX(0,M54+N54))</f>
        <v/>
      </c>
      <c r="P54" s="27" t="s">
        <v>805</v>
      </c>
    </row>
    <row r="55">
      <c r="A55" s="125" t="s">
        <v>259</v>
      </c>
      <c r="B55" s="27" t="s">
        <v>260</v>
      </c>
      <c r="C55" s="125" t="s">
        <v>111</v>
      </c>
      <c r="D55" s="27">
        <f>Models!G46</f>
        <v/>
      </c>
      <c r="E55" s="27">
        <f>Models!H46</f>
        <v/>
      </c>
      <c r="F55" s="27">
        <f>Models!I46</f>
        <v/>
      </c>
      <c r="G55" s="27">
        <f>Models!K46</f>
        <v/>
      </c>
      <c r="H55" s="27">
        <f>Models!L46</f>
        <v/>
      </c>
      <c r="I55" s="27" t="s">
        <v>175</v>
      </c>
      <c r="J55" s="27">
        <f>IF(AND($B$4&gt;=D55,$B$4&lt;=E55),1,0)</f>
        <v/>
      </c>
      <c r="K55" s="27">
        <f>IF($B$5="",1,IF(F55="",1,IF($B$5&lt;=F55,1,0)))</f>
        <v/>
      </c>
      <c r="L55" s="27">
        <f>IF($B$6="",1,IF(AND($B$7=I55,$B$6&gt;=G55,$B$6&lt;=H55),1,0))</f>
        <v/>
      </c>
      <c r="M55" s="27">
        <f>J55*40+K55*20+L55*40</f>
        <v/>
      </c>
      <c r="N55" s="27">
        <f>IF($B$8="",0,SUMIFS(Material_Series_Map!$C$2:$C$300,Material_Series_Map!$A$2:$A$300,$B$8,Material_Series_Map!$B$2:$B$300,C55,Material_Series_Map!$G$2:$G$300,"Verified"))</f>
        <v/>
      </c>
      <c r="O55" s="27">
        <f>MIN(100,MAX(0,M55+N55))</f>
        <v/>
      </c>
      <c r="P55" s="27" t="s">
        <v>805</v>
      </c>
    </row>
    <row r="56">
      <c r="A56" s="125" t="s">
        <v>261</v>
      </c>
      <c r="B56" s="27" t="s">
        <v>262</v>
      </c>
      <c r="C56" s="125" t="s">
        <v>111</v>
      </c>
      <c r="D56" s="27">
        <f>Models!G47</f>
        <v/>
      </c>
      <c r="E56" s="27">
        <f>Models!H47</f>
        <v/>
      </c>
      <c r="F56" s="27">
        <f>Models!I47</f>
        <v/>
      </c>
      <c r="G56" s="27">
        <f>Models!K47</f>
        <v/>
      </c>
      <c r="H56" s="27">
        <f>Models!L47</f>
        <v/>
      </c>
      <c r="I56" s="27" t="s">
        <v>175</v>
      </c>
      <c r="J56" s="27">
        <f>IF(AND($B$4&gt;=D56,$B$4&lt;=E56),1,0)</f>
        <v/>
      </c>
      <c r="K56" s="27">
        <f>IF($B$5="",1,IF(F56="",1,IF($B$5&lt;=F56,1,0)))</f>
        <v/>
      </c>
      <c r="L56" s="27">
        <f>IF($B$6="",1,IF(AND($B$7=I56,$B$6&gt;=G56,$B$6&lt;=H56),1,0))</f>
        <v/>
      </c>
      <c r="M56" s="27">
        <f>J56*40+K56*20+L56*40</f>
        <v/>
      </c>
      <c r="N56" s="27">
        <f>IF($B$8="",0,SUMIFS(Material_Series_Map!$C$2:$C$300,Material_Series_Map!$A$2:$A$300,$B$8,Material_Series_Map!$B$2:$B$300,C56,Material_Series_Map!$G$2:$G$300,"Verified"))</f>
        <v/>
      </c>
      <c r="O56" s="27">
        <f>MIN(100,MAX(0,M56+N56))</f>
        <v/>
      </c>
      <c r="P56" s="27" t="s">
        <v>805</v>
      </c>
    </row>
    <row r="57">
      <c r="A57" s="125" t="s">
        <v>263</v>
      </c>
      <c r="B57" s="27" t="s">
        <v>264</v>
      </c>
      <c r="C57" s="125" t="s">
        <v>111</v>
      </c>
      <c r="D57" s="27">
        <f>Models!G48</f>
        <v/>
      </c>
      <c r="E57" s="27">
        <f>Models!H48</f>
        <v/>
      </c>
      <c r="F57" s="27">
        <f>Models!I48</f>
        <v/>
      </c>
      <c r="G57" s="27">
        <f>Models!K48</f>
        <v/>
      </c>
      <c r="H57" s="27">
        <f>Models!L48</f>
        <v/>
      </c>
      <c r="I57" s="27" t="s">
        <v>175</v>
      </c>
      <c r="J57" s="27">
        <f>IF(AND($B$4&gt;=D57,$B$4&lt;=E57),1,0)</f>
        <v/>
      </c>
      <c r="K57" s="27">
        <f>IF($B$5="",1,IF(F57="",1,IF($B$5&lt;=F57,1,0)))</f>
        <v/>
      </c>
      <c r="L57" s="27">
        <f>IF($B$6="",1,IF(AND($B$7=I57,$B$6&gt;=G57,$B$6&lt;=H57),1,0))</f>
        <v/>
      </c>
      <c r="M57" s="27">
        <f>J57*40+K57*20+L57*40</f>
        <v/>
      </c>
      <c r="N57" s="27">
        <f>IF($B$8="",0,SUMIFS(Material_Series_Map!$C$2:$C$300,Material_Series_Map!$A$2:$A$300,$B$8,Material_Series_Map!$B$2:$B$300,C57,Material_Series_Map!$G$2:$G$300,"Verified"))</f>
        <v/>
      </c>
      <c r="O57" s="27">
        <f>MIN(100,MAX(0,M57+N57))</f>
        <v/>
      </c>
      <c r="P57" s="27" t="s">
        <v>805</v>
      </c>
    </row>
    <row r="58">
      <c r="A58" s="125" t="s">
        <v>265</v>
      </c>
      <c r="B58" s="27" t="s">
        <v>266</v>
      </c>
      <c r="C58" s="125" t="s">
        <v>111</v>
      </c>
      <c r="D58" s="27">
        <f>Models!G49</f>
        <v/>
      </c>
      <c r="E58" s="27">
        <f>Models!H49</f>
        <v/>
      </c>
      <c r="F58" s="27">
        <f>Models!I49</f>
        <v/>
      </c>
      <c r="G58" s="27">
        <f>Models!K49</f>
        <v/>
      </c>
      <c r="H58" s="27">
        <f>Models!L49</f>
        <v/>
      </c>
      <c r="I58" s="27" t="s">
        <v>175</v>
      </c>
      <c r="J58" s="27">
        <f>IF(AND($B$4&gt;=D58,$B$4&lt;=E58),1,0)</f>
        <v/>
      </c>
      <c r="K58" s="27">
        <f>IF($B$5="",1,IF(F58="",1,IF($B$5&lt;=F58,1,0)))</f>
        <v/>
      </c>
      <c r="L58" s="27">
        <f>IF($B$6="",1,IF(AND($B$7=I58,$B$6&gt;=G58,$B$6&lt;=H58),1,0))</f>
        <v/>
      </c>
      <c r="M58" s="27">
        <f>J58*40+K58*20+L58*40</f>
        <v/>
      </c>
      <c r="N58" s="27">
        <f>IF($B$8="",0,SUMIFS(Material_Series_Map!$C$2:$C$300,Material_Series_Map!$A$2:$A$300,$B$8,Material_Series_Map!$B$2:$B$300,C58,Material_Series_Map!$G$2:$G$300,"Verified"))</f>
        <v/>
      </c>
      <c r="O58" s="27">
        <f>MIN(100,MAX(0,M58+N58))</f>
        <v/>
      </c>
      <c r="P58" s="27" t="s">
        <v>805</v>
      </c>
    </row>
    <row r="59">
      <c r="A59" s="125" t="s">
        <v>267</v>
      </c>
      <c r="B59" s="27" t="s">
        <v>268</v>
      </c>
      <c r="C59" s="125" t="s">
        <v>119</v>
      </c>
      <c r="D59" s="27">
        <f>Models!G50</f>
        <v/>
      </c>
      <c r="E59" s="27">
        <f>Models!H50</f>
        <v/>
      </c>
      <c r="F59" s="27">
        <f>Models!I50</f>
        <v/>
      </c>
      <c r="G59" s="27">
        <f>Models!K50</f>
        <v/>
      </c>
      <c r="H59" s="27">
        <f>Models!L50</f>
        <v/>
      </c>
      <c r="I59" s="27" t="s">
        <v>269</v>
      </c>
      <c r="J59" s="27">
        <f>IF(AND($B$4&gt;=D59,$B$4&lt;=E59),1,0)</f>
        <v/>
      </c>
      <c r="K59" s="27">
        <f>IF($B$5="",1,IF(F59="",1,IF($B$5&lt;=F59,1,0)))</f>
        <v/>
      </c>
      <c r="L59" s="27">
        <f>IF($B$6="",1,IF(AND($B$7=I59,$B$6&gt;=G59,$B$6&lt;=H59),1,0))</f>
        <v/>
      </c>
      <c r="M59" s="27">
        <f>J59*40+K59*20+L59*40</f>
        <v/>
      </c>
      <c r="N59" s="27">
        <f>IF($B$8="",0,SUMIFS(Material_Series_Map!$C$2:$C$300,Material_Series_Map!$A$2:$A$300,$B$8,Material_Series_Map!$B$2:$B$300,C59,Material_Series_Map!$G$2:$G$300,"Verified"))</f>
        <v/>
      </c>
      <c r="O59" s="27">
        <f>MIN(100,MAX(0,M59+N59))</f>
        <v/>
      </c>
      <c r="P59" s="27" t="s">
        <v>805</v>
      </c>
    </row>
    <row r="60">
      <c r="A60" s="125" t="s">
        <v>270</v>
      </c>
      <c r="B60" s="27" t="s">
        <v>271</v>
      </c>
      <c r="C60" s="125" t="s">
        <v>119</v>
      </c>
      <c r="D60" s="27">
        <f>Models!G51</f>
        <v/>
      </c>
      <c r="E60" s="27">
        <f>Models!H51</f>
        <v/>
      </c>
      <c r="F60" s="27">
        <f>Models!I51</f>
        <v/>
      </c>
      <c r="G60" s="27">
        <f>Models!K51</f>
        <v/>
      </c>
      <c r="H60" s="27">
        <f>Models!L51</f>
        <v/>
      </c>
      <c r="I60" s="27" t="s">
        <v>269</v>
      </c>
      <c r="J60" s="27">
        <f>IF(AND($B$4&gt;=D60,$B$4&lt;=E60),1,0)</f>
        <v/>
      </c>
      <c r="K60" s="27">
        <f>IF($B$5="",1,IF(F60="",1,IF($B$5&lt;=F60,1,0)))</f>
        <v/>
      </c>
      <c r="L60" s="27">
        <f>IF($B$6="",1,IF(AND($B$7=I60,$B$6&gt;=G60,$B$6&lt;=H60),1,0))</f>
        <v/>
      </c>
      <c r="M60" s="27">
        <f>J60*40+K60*20+L60*40</f>
        <v/>
      </c>
      <c r="N60" s="27">
        <f>IF($B$8="",0,SUMIFS(Material_Series_Map!$C$2:$C$300,Material_Series_Map!$A$2:$A$300,$B$8,Material_Series_Map!$B$2:$B$300,C60,Material_Series_Map!$G$2:$G$300,"Verified"))</f>
        <v/>
      </c>
      <c r="O60" s="27">
        <f>MIN(100,MAX(0,M60+N60))</f>
        <v/>
      </c>
      <c r="P60" s="27" t="s">
        <v>805</v>
      </c>
    </row>
    <row r="61">
      <c r="A61" s="125" t="s">
        <v>272</v>
      </c>
      <c r="B61" s="27" t="s">
        <v>273</v>
      </c>
      <c r="C61" s="125" t="s">
        <v>119</v>
      </c>
      <c r="D61" s="27">
        <f>Models!G52</f>
        <v/>
      </c>
      <c r="E61" s="27">
        <f>Models!H52</f>
        <v/>
      </c>
      <c r="F61" s="27">
        <f>Models!I52</f>
        <v/>
      </c>
      <c r="G61" s="27">
        <f>Models!K52</f>
        <v/>
      </c>
      <c r="H61" s="27">
        <f>Models!L52</f>
        <v/>
      </c>
      <c r="I61" s="27" t="s">
        <v>269</v>
      </c>
      <c r="J61" s="27">
        <f>IF(AND($B$4&gt;=D61,$B$4&lt;=E61),1,0)</f>
        <v/>
      </c>
      <c r="K61" s="27">
        <f>IF($B$5="",1,IF(F61="",1,IF($B$5&lt;=F61,1,0)))</f>
        <v/>
      </c>
      <c r="L61" s="27">
        <f>IF($B$6="",1,IF(AND($B$7=I61,$B$6&gt;=G61,$B$6&lt;=H61),1,0))</f>
        <v/>
      </c>
      <c r="M61" s="27">
        <f>J61*40+K61*20+L61*40</f>
        <v/>
      </c>
      <c r="N61" s="27">
        <f>IF($B$8="",0,SUMIFS(Material_Series_Map!$C$2:$C$300,Material_Series_Map!$A$2:$A$300,$B$8,Material_Series_Map!$B$2:$B$300,C61,Material_Series_Map!$G$2:$G$300,"Verified"))</f>
        <v/>
      </c>
      <c r="O61" s="27">
        <f>MIN(100,MAX(0,M61+N61))</f>
        <v/>
      </c>
      <c r="P61" s="27" t="s">
        <v>805</v>
      </c>
    </row>
    <row r="62">
      <c r="A62" s="125" t="s">
        <v>274</v>
      </c>
      <c r="B62" s="27" t="s">
        <v>275</v>
      </c>
      <c r="C62" s="125" t="s">
        <v>119</v>
      </c>
      <c r="D62" s="27">
        <f>Models!G53</f>
        <v/>
      </c>
      <c r="E62" s="27">
        <f>Models!H53</f>
        <v/>
      </c>
      <c r="F62" s="27">
        <f>Models!I53</f>
        <v/>
      </c>
      <c r="G62" s="27">
        <f>Models!K53</f>
        <v/>
      </c>
      <c r="H62" s="27">
        <f>Models!L53</f>
        <v/>
      </c>
      <c r="I62" s="27" t="s">
        <v>269</v>
      </c>
      <c r="J62" s="27">
        <f>IF(AND($B$4&gt;=D62,$B$4&lt;=E62),1,0)</f>
        <v/>
      </c>
      <c r="K62" s="27">
        <f>IF($B$5="",1,IF(F62="",1,IF($B$5&lt;=F62,1,0)))</f>
        <v/>
      </c>
      <c r="L62" s="27">
        <f>IF($B$6="",1,IF(AND($B$7=I62,$B$6&gt;=G62,$B$6&lt;=H62),1,0))</f>
        <v/>
      </c>
      <c r="M62" s="27">
        <f>J62*40+K62*20+L62*40</f>
        <v/>
      </c>
      <c r="N62" s="27">
        <f>IF($B$8="",0,SUMIFS(Material_Series_Map!$C$2:$C$300,Material_Series_Map!$A$2:$A$300,$B$8,Material_Series_Map!$B$2:$B$300,C62,Material_Series_Map!$G$2:$G$300,"Verified"))</f>
        <v/>
      </c>
      <c r="O62" s="27">
        <f>MIN(100,MAX(0,M62+N62))</f>
        <v/>
      </c>
      <c r="P62" s="27" t="s">
        <v>805</v>
      </c>
    </row>
    <row r="63">
      <c r="A63" s="125" t="s">
        <v>276</v>
      </c>
      <c r="B63" s="27" t="s">
        <v>277</v>
      </c>
      <c r="C63" s="125" t="s">
        <v>119</v>
      </c>
      <c r="D63" s="27">
        <f>Models!G54</f>
        <v/>
      </c>
      <c r="E63" s="27">
        <f>Models!H54</f>
        <v/>
      </c>
      <c r="F63" s="27">
        <f>Models!I54</f>
        <v/>
      </c>
      <c r="G63" s="27">
        <f>Models!K54</f>
        <v/>
      </c>
      <c r="H63" s="27">
        <f>Models!L54</f>
        <v/>
      </c>
      <c r="I63" s="27" t="s">
        <v>269</v>
      </c>
      <c r="J63" s="27">
        <f>IF(AND($B$4&gt;=D63,$B$4&lt;=E63),1,0)</f>
        <v/>
      </c>
      <c r="K63" s="27">
        <f>IF($B$5="",1,IF(F63="",1,IF($B$5&lt;=F63,1,0)))</f>
        <v/>
      </c>
      <c r="L63" s="27">
        <f>IF($B$6="",1,IF(AND($B$7=I63,$B$6&gt;=G63,$B$6&lt;=H63),1,0))</f>
        <v/>
      </c>
      <c r="M63" s="27">
        <f>J63*40+K63*20+L63*40</f>
        <v/>
      </c>
      <c r="N63" s="27">
        <f>IF($B$8="",0,SUMIFS(Material_Series_Map!$C$2:$C$300,Material_Series_Map!$A$2:$A$300,$B$8,Material_Series_Map!$B$2:$B$300,C63,Material_Series_Map!$G$2:$G$300,"Verified"))</f>
        <v/>
      </c>
      <c r="O63" s="27">
        <f>MIN(100,MAX(0,M63+N63))</f>
        <v/>
      </c>
      <c r="P63" s="27" t="s">
        <v>805</v>
      </c>
    </row>
    <row r="64">
      <c r="A64" s="125" t="s">
        <v>278</v>
      </c>
      <c r="B64" s="27" t="s">
        <v>279</v>
      </c>
      <c r="C64" s="125" t="s">
        <v>119</v>
      </c>
      <c r="D64" s="27">
        <f>Models!G55</f>
        <v/>
      </c>
      <c r="E64" s="27">
        <f>Models!H55</f>
        <v/>
      </c>
      <c r="F64" s="27">
        <f>Models!I55</f>
        <v/>
      </c>
      <c r="G64" s="27">
        <f>Models!K55</f>
        <v/>
      </c>
      <c r="H64" s="27">
        <f>Models!L55</f>
        <v/>
      </c>
      <c r="I64" s="27" t="s">
        <v>269</v>
      </c>
      <c r="J64" s="27">
        <f>IF(AND($B$4&gt;=D64,$B$4&lt;=E64),1,0)</f>
        <v/>
      </c>
      <c r="K64" s="27">
        <f>IF($B$5="",1,IF(F64="",1,IF($B$5&lt;=F64,1,0)))</f>
        <v/>
      </c>
      <c r="L64" s="27">
        <f>IF($B$6="",1,IF(AND($B$7=I64,$B$6&gt;=G64,$B$6&lt;=H64),1,0))</f>
        <v/>
      </c>
      <c r="M64" s="27">
        <f>J64*40+K64*20+L64*40</f>
        <v/>
      </c>
      <c r="N64" s="27">
        <f>IF($B$8="",0,SUMIFS(Material_Series_Map!$C$2:$C$300,Material_Series_Map!$A$2:$A$300,$B$8,Material_Series_Map!$B$2:$B$300,C64,Material_Series_Map!$G$2:$G$300,"Verified"))</f>
        <v/>
      </c>
      <c r="O64" s="27">
        <f>MIN(100,MAX(0,M64+N64))</f>
        <v/>
      </c>
      <c r="P64" s="27" t="s">
        <v>805</v>
      </c>
    </row>
    <row r="65">
      <c r="A65" s="125" t="s">
        <v>280</v>
      </c>
      <c r="B65" s="27" t="s">
        <v>236</v>
      </c>
      <c r="C65" s="125" t="s">
        <v>128</v>
      </c>
      <c r="D65" s="27">
        <f>Models!G56</f>
        <v/>
      </c>
      <c r="E65" s="27">
        <f>Models!H56</f>
        <v/>
      </c>
      <c r="F65" s="27">
        <f>Models!I56</f>
        <v/>
      </c>
      <c r="G65" s="27">
        <f>Models!K56</f>
        <v/>
      </c>
      <c r="H65" s="27">
        <f>Models!L56</f>
        <v/>
      </c>
      <c r="I65" s="27" t="s">
        <v>175</v>
      </c>
      <c r="J65" s="27">
        <f>IF(AND($B$4&gt;=D65,$B$4&lt;=E65),1,0)</f>
        <v/>
      </c>
      <c r="K65" s="27">
        <f>IF($B$5="",1,IF(F65="",1,IF($B$5&lt;=F65,1,0)))</f>
        <v/>
      </c>
      <c r="L65" s="27">
        <f>IF($B$6="",1,IF(AND($B$7=I65,$B$6&gt;=G65,$B$6&lt;=H65),1,0))</f>
        <v/>
      </c>
      <c r="M65" s="27">
        <f>J65*40+K65*20+L65*40</f>
        <v/>
      </c>
      <c r="N65" s="27">
        <f>IF($B$8="",0,SUMIFS(Material_Series_Map!$C$2:$C$300,Material_Series_Map!$A$2:$A$300,$B$8,Material_Series_Map!$B$2:$B$300,C65,Material_Series_Map!$G$2:$G$300,"Verified"))</f>
        <v/>
      </c>
      <c r="O65" s="27">
        <f>MIN(100,MAX(0,M65+N65))</f>
        <v/>
      </c>
      <c r="P65" s="27" t="s">
        <v>805</v>
      </c>
    </row>
    <row r="66">
      <c r="A66" s="125" t="s">
        <v>282</v>
      </c>
      <c r="B66" s="27" t="s">
        <v>240</v>
      </c>
      <c r="C66" s="125" t="s">
        <v>128</v>
      </c>
      <c r="D66" s="27">
        <f>Models!G57</f>
        <v/>
      </c>
      <c r="E66" s="27">
        <f>Models!H57</f>
        <v/>
      </c>
      <c r="F66" s="27">
        <f>Models!I57</f>
        <v/>
      </c>
      <c r="G66" s="27">
        <f>Models!K57</f>
        <v/>
      </c>
      <c r="H66" s="27">
        <f>Models!L57</f>
        <v/>
      </c>
      <c r="I66" s="27" t="s">
        <v>175</v>
      </c>
      <c r="J66" s="27">
        <f>IF(AND($B$4&gt;=D66,$B$4&lt;=E66),1,0)</f>
        <v/>
      </c>
      <c r="K66" s="27">
        <f>IF($B$5="",1,IF(F66="",1,IF($B$5&lt;=F66,1,0)))</f>
        <v/>
      </c>
      <c r="L66" s="27">
        <f>IF($B$6="",1,IF(AND($B$7=I66,$B$6&gt;=G66,$B$6&lt;=H66),1,0))</f>
        <v/>
      </c>
      <c r="M66" s="27">
        <f>J66*40+K66*20+L66*40</f>
        <v/>
      </c>
      <c r="N66" s="27">
        <f>IF($B$8="",0,SUMIFS(Material_Series_Map!$C$2:$C$300,Material_Series_Map!$A$2:$A$300,$B$8,Material_Series_Map!$B$2:$B$300,C66,Material_Series_Map!$G$2:$G$300,"Verified"))</f>
        <v/>
      </c>
      <c r="O66" s="27">
        <f>MIN(100,MAX(0,M66+N66))</f>
        <v/>
      </c>
      <c r="P66" s="27" t="s">
        <v>805</v>
      </c>
    </row>
    <row r="67">
      <c r="A67" s="125" t="s">
        <v>283</v>
      </c>
      <c r="B67" s="27" t="s">
        <v>284</v>
      </c>
      <c r="C67" s="125" t="s">
        <v>128</v>
      </c>
      <c r="D67" s="27">
        <f>Models!G58</f>
        <v/>
      </c>
      <c r="E67" s="27">
        <f>Models!H58</f>
        <v/>
      </c>
      <c r="F67" s="27">
        <f>Models!I58</f>
        <v/>
      </c>
      <c r="G67" s="27">
        <f>Models!K58</f>
        <v/>
      </c>
      <c r="H67" s="27">
        <f>Models!L58</f>
        <v/>
      </c>
      <c r="I67" s="27" t="s">
        <v>175</v>
      </c>
      <c r="J67" s="27">
        <f>IF(AND($B$4&gt;=D67,$B$4&lt;=E67),1,0)</f>
        <v/>
      </c>
      <c r="K67" s="27">
        <f>IF($B$5="",1,IF(F67="",1,IF($B$5&lt;=F67,1,0)))</f>
        <v/>
      </c>
      <c r="L67" s="27">
        <f>IF($B$6="",1,IF(AND($B$7=I67,$B$6&gt;=G67,$B$6&lt;=H67),1,0))</f>
        <v/>
      </c>
      <c r="M67" s="27">
        <f>J67*40+K67*20+L67*40</f>
        <v/>
      </c>
      <c r="N67" s="27">
        <f>IF($B$8="",0,SUMIFS(Material_Series_Map!$C$2:$C$300,Material_Series_Map!$A$2:$A$300,$B$8,Material_Series_Map!$B$2:$B$300,C67,Material_Series_Map!$G$2:$G$300,"Verified"))</f>
        <v/>
      </c>
      <c r="O67" s="27">
        <f>MIN(100,MAX(0,M67+N67))</f>
        <v/>
      </c>
      <c r="P67" s="27" t="s">
        <v>805</v>
      </c>
    </row>
  </sheetData>
  <mergeCells>
    <mergeCell ref="A1:H1"/>
    <mergeCell ref="A9:P9"/>
  </mergeCells>
  <conditionalFormatting sqref="O11:O67">
    <cfRule type="colorScale" priority="1">
      <colorScale>
        <cfvo type="min"/>
        <cfvo type="percentile" val="50"/>
        <cfvo type="max"/>
        <color rgb="FFFEE2E2"/>
        <color rgb="FFFEF3C7"/>
        <color rgb="FFDCFCE7"/>
      </colorScale>
    </cfRule>
  </conditionalFormatting>
  <conditionalFormatting sqref="P11:P67">
    <cfRule type="expression" dxfId="2" priority="2">
      <formula>P11="STRONG CANDIDATE"</formula>
    </cfRule>
    <cfRule type="expression" dxfId="3" priority="3">
      <formula>P11="NO MATCH"</formula>
    </cfRule>
  </conditionalFormatting>
  <dataValidations count="2">
    <dataValidation type="list" sqref="B7">
      <formula1>"mesh,µm,mm"</formula1>
    </dataValidation>
    <dataValidation type="list" sqref="B8">
      <formula1>"SESAME,PEANUT,ALMOND,SPICE_POWDER,CACAO,FRUIT,VEGETABLE,HERB,MEDICINE,PLASTIC,RUBBER,PEPPER,TEA,SUGAR"</formula1>
    </dataValidation>
  </dataValidations>
  <pageMargins left="0.7" right="0.7" top="0.75" bottom="0.75" header="0.3" footer="0.3"/>
  <tableParts count="1">
    <tablePart xmlns:r="http://schemas.openxmlformats.org/officeDocument/2006/relationships" r:id="R7c6a49247eea44d5"/>
  </tableParts>
</worksheet>
</file>