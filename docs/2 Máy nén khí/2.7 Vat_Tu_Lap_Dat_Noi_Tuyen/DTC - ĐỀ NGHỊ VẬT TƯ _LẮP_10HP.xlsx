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ACOMP\VẬT_TƯ_LẮP_ĐẶT_MNK\"/>
    </mc:Choice>
  </mc:AlternateContent>
  <bookViews>
    <workbookView xWindow="-120" yWindow="-120" windowWidth="29040" windowHeight="15840"/>
  </bookViews>
  <sheets>
    <sheet name="ĐỀ NGHỊ VẬT TƯ " sheetId="25" r:id="rId1"/>
    <sheet name="Phiếu nhập kho thành phẩm" sheetId="17" state="hidden" r:id="rId2"/>
    <sheet name="Phiếu nhập kho nhựa xay" sheetId="19" state="hidden" r:id="rId3"/>
  </sheets>
  <externalReferences>
    <externalReference r:id="rId4"/>
  </externalReferences>
  <definedNames>
    <definedName name="__DDG589" localSheetId="0">#REF!</definedName>
    <definedName name="__DDG589">#REF!</definedName>
    <definedName name="__KLL866" localSheetId="0">#REF!</definedName>
    <definedName name="__KLL866">#REF!</definedName>
    <definedName name="_DDG589" localSheetId="0">#REF!</definedName>
    <definedName name="_xlnm._FilterDatabase" localSheetId="0" hidden="1">'ĐỀ NGHỊ VẬT TƯ '!#REF!</definedName>
    <definedName name="_KLL866" localSheetId="0">#REF!</definedName>
    <definedName name="_nc304" localSheetId="0">#REF!</definedName>
    <definedName name="_nc304">#REF!</definedName>
    <definedName name="_vt304" localSheetId="0">#REF!</definedName>
    <definedName name="_vt304">#REF!</definedName>
    <definedName name="_vta515" localSheetId="0">#REF!</definedName>
    <definedName name="_vta515">#REF!</definedName>
    <definedName name="a" localSheetId="0">#REF!</definedName>
    <definedName name="a">#REF!</definedName>
    <definedName name="bacdanucfc60" localSheetId="0">#REF!</definedName>
    <definedName name="bacdanucfc60">#REF!</definedName>
    <definedName name="bacdanucfc70" localSheetId="0">#REF!</definedName>
    <definedName name="bacdanucfc70">#REF!</definedName>
    <definedName name="bacdanucfc80" localSheetId="0">#REF!</definedName>
    <definedName name="bacdanucfc80">#REF!</definedName>
    <definedName name="bankinh" localSheetId="0">#REF!</definedName>
    <definedName name="bankinh">#REF!</definedName>
    <definedName name="bichcs" localSheetId="0">#REF!</definedName>
    <definedName name="bichcs">#REF!</definedName>
    <definedName name="bichinox" localSheetId="0">#REF!</definedName>
    <definedName name="bichinox">#REF!</definedName>
    <definedName name="binhkhinen" localSheetId="0">#REF!</definedName>
    <definedName name="binhkhinen">#REF!</definedName>
    <definedName name="chieudai" localSheetId="0">#REF!</definedName>
    <definedName name="chieudai">#REF!</definedName>
    <definedName name="chuvi" localSheetId="0">#REF!</definedName>
    <definedName name="chuvi">#REF!</definedName>
    <definedName name="cs" localSheetId="0">#REF!</definedName>
    <definedName name="cs">#REF!</definedName>
    <definedName name="d">'[1]he so gia'!$D$20</definedName>
    <definedName name="den100w" localSheetId="0">#REF!</definedName>
    <definedName name="den100w">#REF!</definedName>
    <definedName name="dff" localSheetId="0">#REF!</definedName>
    <definedName name="dff">#REF!</definedName>
    <definedName name="DGHJ" localSheetId="0">#REF!</definedName>
    <definedName name="DGHJ">#REF!</definedName>
    <definedName name="DHOIO" localSheetId="0">#REF!</definedName>
    <definedName name="DHOIO">#REF!</definedName>
    <definedName name="djbkfjhnr" localSheetId="0">#REF!</definedName>
    <definedName name="djbkfjhnr">#REF!</definedName>
    <definedName name="djkll9" localSheetId="0">#REF!</definedName>
    <definedName name="djkll9">#REF!</definedName>
    <definedName name="DRR" localSheetId="0">#REF!</definedName>
    <definedName name="DRR">#REF!</definedName>
    <definedName name="ewfgtreage">'[1]he so gia'!$D$3</definedName>
    <definedName name="f6yt" localSheetId="0">#REF!</definedName>
    <definedName name="f6yt">#REF!</definedName>
    <definedName name="gcongbichdn100inox" localSheetId="0">#REF!</definedName>
    <definedName name="gcongbichdn100inox">#REF!</definedName>
    <definedName name="gcongbichdn125inox" localSheetId="0">#REF!</definedName>
    <definedName name="gcongbichdn125inox">#REF!</definedName>
    <definedName name="gcongbichdn150inox" localSheetId="0">#REF!</definedName>
    <definedName name="gcongbichdn150inox">#REF!</definedName>
    <definedName name="gcongbichdn15inox" localSheetId="0">#REF!</definedName>
    <definedName name="gcongbichdn15inox">#REF!</definedName>
    <definedName name="gcongbichdn200inox" localSheetId="0">#REF!</definedName>
    <definedName name="gcongbichdn200inox">#REF!</definedName>
    <definedName name="gcongbichdn25" localSheetId="0">#REF!</definedName>
    <definedName name="gcongbichdn25">#REF!</definedName>
    <definedName name="gcongbichdn25inox" localSheetId="0">#REF!</definedName>
    <definedName name="gcongbichdn25inox">#REF!</definedName>
    <definedName name="gcongbichdn300inox" localSheetId="0">#REF!</definedName>
    <definedName name="gcongbichdn300inox">#REF!</definedName>
    <definedName name="gcongbichdn40inox" localSheetId="0">#REF!</definedName>
    <definedName name="gcongbichdn40inox">#REF!</definedName>
    <definedName name="gcongbichdn50inox" localSheetId="0">#REF!</definedName>
    <definedName name="gcongbichdn50inox">#REF!</definedName>
    <definedName name="gcongbichdn50ss400" localSheetId="0">#REF!</definedName>
    <definedName name="gcongbichdn50ss400">#REF!</definedName>
    <definedName name="gcongbichdn65inox" localSheetId="0">#REF!</definedName>
    <definedName name="gcongbichdn65inox">#REF!</definedName>
    <definedName name="gcongbichdn80inox" localSheetId="0">#REF!</definedName>
    <definedName name="gcongbichdn80inox">#REF!</definedName>
    <definedName name="gcsightglass" localSheetId="0">#REF!</definedName>
    <definedName name="gcsightglass">#REF!</definedName>
    <definedName name="GG" localSheetId="0">#REF!</definedName>
    <definedName name="GG">#REF!</definedName>
    <definedName name="giabacdan" localSheetId="0">#REF!</definedName>
    <definedName name="giabacdan">#REF!</definedName>
    <definedName name="giabdUCFC80" localSheetId="0">#REF!</definedName>
    <definedName name="giabdUCFC80">#REF!</definedName>
    <definedName name="giabtABB11kw" localSheetId="0">#REF!</definedName>
    <definedName name="giabtABB11kw">#REF!</definedName>
    <definedName name="giabtABB18kw" localSheetId="0">#REF!</definedName>
    <definedName name="giabtABB18kw">#REF!</definedName>
    <definedName name="giabtABB22Kw" localSheetId="0">#REF!</definedName>
    <definedName name="giabtABB22Kw">#REF!</definedName>
    <definedName name="giacoupling102inox" localSheetId="0">#REF!</definedName>
    <definedName name="giacoupling102inox">#REF!</definedName>
    <definedName name="giadonghoap10bar" localSheetId="0">#REF!</definedName>
    <definedName name="giadonghoap10bar">#REF!</definedName>
    <definedName name="giagcbdinox" localSheetId="0">#REF!</definedName>
    <definedName name="giagcbdinox">#REF!</definedName>
    <definedName name="giagcbinox" localSheetId="0">#REF!</definedName>
    <definedName name="giagcbinox">#REF!</definedName>
    <definedName name="giagcbinox304" localSheetId="0">#REF!</definedName>
    <definedName name="giagcbinox304">#REF!</definedName>
    <definedName name="giagcblinox" localSheetId="0">#REF!</definedName>
    <definedName name="giagcblinox">#REF!</definedName>
    <definedName name="giagcblss400" localSheetId="0">#REF!</definedName>
    <definedName name="giagcblss400">#REF!</definedName>
    <definedName name="giagcbminox" localSheetId="0">#REF!</definedName>
    <definedName name="giagcbminox">#REF!</definedName>
    <definedName name="giagcbmlinox" localSheetId="0">#REF!</definedName>
    <definedName name="giagcbmlinox">#REF!</definedName>
    <definedName name="giagcbss400" localSheetId="0">#REF!</definedName>
    <definedName name="giagcbss400">#REF!</definedName>
    <definedName name="giagccinox304" localSheetId="0">#REF!</definedName>
    <definedName name="giagccinox304">#REF!</definedName>
    <definedName name="giagccss400" localSheetId="0">#REF!</definedName>
    <definedName name="giagccss400">#REF!</definedName>
    <definedName name="giagcdb" localSheetId="0">#REF!</definedName>
    <definedName name="giagcdb">#REF!</definedName>
    <definedName name="giagclinox" localSheetId="0">#REF!</definedName>
    <definedName name="giagclinox">#REF!</definedName>
    <definedName name="giagcocinox" localSheetId="0">#REF!</definedName>
    <definedName name="giagcocinox">#REF!</definedName>
    <definedName name="giagcson" localSheetId="0">#REF!</definedName>
    <definedName name="giagcson">#REF!</definedName>
    <definedName name="giagctaminox" localSheetId="0">#REF!</definedName>
    <definedName name="giagctaminox">#REF!</definedName>
    <definedName name="giagctamss400" localSheetId="0">#REF!</definedName>
    <definedName name="giagctamss400">#REF!</definedName>
    <definedName name="giagctbinox" localSheetId="0">#REF!</definedName>
    <definedName name="giagctbinox">#REF!</definedName>
    <definedName name="giagctinox" localSheetId="0">#REF!</definedName>
    <definedName name="giagctinox">#REF!</definedName>
    <definedName name="giagctinox304" localSheetId="0">#REF!</definedName>
    <definedName name="giagctinox304">#REF!</definedName>
    <definedName name="giagctrinox" localSheetId="0">#REF!</definedName>
    <definedName name="giagctrinox">#REF!</definedName>
    <definedName name="giagctss400" localSheetId="0">#REF!</definedName>
    <definedName name="giagctss400">#REF!</definedName>
    <definedName name="giahanong1inch" localSheetId="0">#REF!</definedName>
    <definedName name="giahanong1inch">#REF!</definedName>
    <definedName name="giainox304" localSheetId="0">#REF!</definedName>
    <definedName name="giainox304">#REF!</definedName>
    <definedName name="giakinhcuongluc" localSheetId="0">#REF!</definedName>
    <definedName name="giakinhcuongluc">#REF!</definedName>
    <definedName name="giakntr" localSheetId="0">#REF!</definedName>
    <definedName name="giakntr">#REF!</definedName>
    <definedName name="gialaptudien" localSheetId="0">#REF!</definedName>
    <definedName name="gialaptudien">#REF!</definedName>
    <definedName name="gialinox" localSheetId="0">#REF!</definedName>
    <definedName name="gialinox">#REF!</definedName>
    <definedName name="giamanhole450inox" localSheetId="0">#REF!</definedName>
    <definedName name="giamanhole450inox">#REF!</definedName>
    <definedName name="giamotor0.4kw" localSheetId="0">#REF!</definedName>
    <definedName name="giamotor0.4kw">#REF!</definedName>
    <definedName name="giamotor0.75taiwan" localSheetId="0">#REF!</definedName>
    <definedName name="giamotor0.75taiwan">#REF!</definedName>
    <definedName name="giamotor11Kwnord" localSheetId="0">#REF!</definedName>
    <definedName name="giamotor11Kwnord">#REF!</definedName>
    <definedName name="giamotor11kwnord319rpm" localSheetId="0">#REF!</definedName>
    <definedName name="giamotor11kwnord319rpm">#REF!</definedName>
    <definedName name="giamotor18.5kwnord60rpm" localSheetId="0">#REF!</definedName>
    <definedName name="giamotor18.5kwnord60rpm">#REF!</definedName>
    <definedName name="giamotor2.2kwtaiwan" localSheetId="0">#REF!</definedName>
    <definedName name="giamotor2.2kwtaiwan">#REF!</definedName>
    <definedName name="giamotor22Kwnord" localSheetId="0">#REF!</definedName>
    <definedName name="giamotor22Kwnord">#REF!</definedName>
    <definedName name="giaocninox" localSheetId="0">#REF!</definedName>
    <definedName name="giaocninox">#REF!</definedName>
    <definedName name="giaocninox304" localSheetId="0">#REF!</definedName>
    <definedName name="giaocninox304">#REF!</definedName>
    <definedName name="giaocnss400" localSheetId="0">#REF!</definedName>
    <definedName name="giaocnss400">#REF!</definedName>
    <definedName name="giaodcninox" localSheetId="0">#REF!</definedName>
    <definedName name="giaodcninox">#REF!</definedName>
    <definedName name="giass400" localSheetId="0">#REF!</definedName>
    <definedName name="giass400">#REF!</definedName>
    <definedName name="giatehan13inox" localSheetId="0">#REF!</definedName>
    <definedName name="giatehan13inox">#REF!</definedName>
    <definedName name="giathinox" localSheetId="0">#REF!</definedName>
    <definedName name="giathinox">#REF!</definedName>
    <definedName name="giatudien22Kw" localSheetId="0">#REF!</definedName>
    <definedName name="giatudien22Kw">#REF!</definedName>
    <definedName name="giavanantoan4bar" localSheetId="0">#REF!</definedName>
    <definedName name="giavanantoan4bar">#REF!</definedName>
    <definedName name="giavanbi13inox" localSheetId="0">#REF!</definedName>
    <definedName name="giavanbi13inox">#REF!</definedName>
    <definedName name="giavanbi21inox" localSheetId="0">#REF!</definedName>
    <definedName name="giavanbi21inox">#REF!</definedName>
    <definedName name="giavanbi27inox" localSheetId="0">#REF!</definedName>
    <definedName name="giavanbi27inox">#REF!</definedName>
    <definedName name="giavanbi34inox" localSheetId="0">#REF!</definedName>
    <definedName name="giavanbi34inox">#REF!</definedName>
    <definedName name="giavtdb" localSheetId="0">#REF!</definedName>
    <definedName name="giavtdb">#REF!</definedName>
    <definedName name="giavtson" localSheetId="0">#REF!</definedName>
    <definedName name="giavtson">#REF!</definedName>
    <definedName name="giavtsoncchay" localSheetId="0">#REF!</definedName>
    <definedName name="giavtsoncchay">#REF!</definedName>
    <definedName name="gkuyu" localSheetId="0">#REF!</definedName>
    <definedName name="gkuyu">#REF!</definedName>
    <definedName name="glnnc" localSheetId="0">#REF!</definedName>
    <definedName name="glnnc">#REF!</definedName>
    <definedName name="glnvt" localSheetId="0">#REF!</definedName>
    <definedName name="glnvt">#REF!</definedName>
    <definedName name="hjy" localSheetId="0">#REF!</definedName>
    <definedName name="hjy">#REF!</definedName>
    <definedName name="hslnmt" localSheetId="0">#REF!</definedName>
    <definedName name="hslnmt">#REF!</definedName>
    <definedName name="hslnnc" localSheetId="0">#REF!</definedName>
    <definedName name="hslnnc">#REF!</definedName>
    <definedName name="hslnvt" localSheetId="0">#REF!</definedName>
    <definedName name="hslnvt">#REF!</definedName>
    <definedName name="hsvt" localSheetId="0">#REF!</definedName>
    <definedName name="hsvt">#REF!</definedName>
    <definedName name="inox" localSheetId="0">#REF!</definedName>
    <definedName name="inox">#REF!</definedName>
    <definedName name="inox1" localSheetId="0">#REF!</definedName>
    <definedName name="inox1">#REF!</definedName>
    <definedName name="inox316" localSheetId="0">#REF!</definedName>
    <definedName name="inox316">#REF!</definedName>
    <definedName name="JGJK" localSheetId="0">#REF!</definedName>
    <definedName name="JGJK">#REF!</definedName>
    <definedName name="nccs" localSheetId="0">#REF!</definedName>
    <definedName name="nccs">#REF!</definedName>
    <definedName name="ongbichdn100inox" localSheetId="0">#REF!</definedName>
    <definedName name="ongbichdn100inox">#REF!</definedName>
    <definedName name="ongbichdn100ss400" localSheetId="0">#REF!</definedName>
    <definedName name="ongbichdn100ss400">#REF!</definedName>
    <definedName name="ongbichdn125inox" localSheetId="0">#REF!</definedName>
    <definedName name="ongbichdn125inox">#REF!</definedName>
    <definedName name="ongbichdn150inox" localSheetId="0">#REF!</definedName>
    <definedName name="ongbichdn150inox">#REF!</definedName>
    <definedName name="ongbichdn15inox" localSheetId="0">#REF!</definedName>
    <definedName name="ongbichdn15inox">#REF!</definedName>
    <definedName name="ongbichdn200inox" localSheetId="0">#REF!</definedName>
    <definedName name="ongbichdn200inox">#REF!</definedName>
    <definedName name="ongbichdn20inox" localSheetId="0">#REF!</definedName>
    <definedName name="ongbichdn20inox">#REF!</definedName>
    <definedName name="ongbichdn25" localSheetId="0">#REF!</definedName>
    <definedName name="ongbichdn25">#REF!</definedName>
    <definedName name="ongbichdn25inox" localSheetId="0">#REF!</definedName>
    <definedName name="ongbichdn25inox">#REF!</definedName>
    <definedName name="ongbichdn300inox" localSheetId="0">#REF!</definedName>
    <definedName name="ongbichdn300inox">#REF!</definedName>
    <definedName name="ongbichdn40inox" localSheetId="0">#REF!</definedName>
    <definedName name="ongbichdn40inox">#REF!</definedName>
    <definedName name="ongbichdn50inox" localSheetId="0">#REF!</definedName>
    <definedName name="ongbichdn50inox">#REF!</definedName>
    <definedName name="ongbichdn50ss400" localSheetId="0">#REF!</definedName>
    <definedName name="ongbichdn50ss400">#REF!</definedName>
    <definedName name="ongbichdn65inox" localSheetId="0">#REF!</definedName>
    <definedName name="ongbichdn65inox">#REF!</definedName>
    <definedName name="ongbichdn80inox" localSheetId="0">#REF!</definedName>
    <definedName name="ongbichdn80inox">#REF!</definedName>
    <definedName name="ongbichdn80ss400" localSheetId="0">#REF!</definedName>
    <definedName name="ongbichdn80ss400">#REF!</definedName>
    <definedName name="ongclamp3inox" localSheetId="0">#REF!</definedName>
    <definedName name="ongclamp3inox">#REF!</definedName>
    <definedName name="ongcoupling1.5inox" localSheetId="0">#REF!</definedName>
    <definedName name="ongcoupling1.5inox">#REF!</definedName>
    <definedName name="ongcoupling1inox" localSheetId="0">#REF!</definedName>
    <definedName name="ongcoupling1inox">#REF!</definedName>
    <definedName name="ongcoupling2inox" localSheetId="0">#REF!</definedName>
    <definedName name="ongcoupling2inox">#REF!</definedName>
    <definedName name="ongcoupling3inox" localSheetId="0">#REF!</definedName>
    <definedName name="ongcoupling3inox">#REF!</definedName>
    <definedName name="ongvanbidn15inox" localSheetId="0">#REF!</definedName>
    <definedName name="ongvanbidn15inox">#REF!</definedName>
    <definedName name="ongvanbidn20inox" localSheetId="0">#REF!</definedName>
    <definedName name="ongvanbidn20inox">#REF!</definedName>
    <definedName name="ongvanbidn20ss400" localSheetId="0">#REF!</definedName>
    <definedName name="ongvanbidn20ss400">#REF!</definedName>
    <definedName name="ongvanbidn25inox" localSheetId="0">#REF!</definedName>
    <definedName name="ongvanbidn25inox">#REF!</definedName>
    <definedName name="ongvanbidn32ss400" localSheetId="0">#REF!</definedName>
    <definedName name="ongvanbidn32ss400">#REF!</definedName>
    <definedName name="phuncat" localSheetId="0">#REF!</definedName>
    <definedName name="phuncat">#REF!</definedName>
    <definedName name="_xlnm.Print_Area" localSheetId="0">'ĐỀ NGHỊ VẬT TƯ '!$A$1:$O$82</definedName>
    <definedName name="_xlnm.Print_Titles" localSheetId="0">'ĐỀ NGHỊ VẬT TƯ '!$1:$11</definedName>
    <definedName name="quacaucodinh1" localSheetId="0">#REF!</definedName>
    <definedName name="quacaucodinh1">#REF!</definedName>
    <definedName name="qứg" localSheetId="0">#REF!</definedName>
    <definedName name="qứg">#REF!</definedName>
    <definedName name="SDF" localSheetId="0">#REF!</definedName>
    <definedName name="SDF">#REF!</definedName>
    <definedName name="sightglass" localSheetId="0">#REF!</definedName>
    <definedName name="sightglass">#REF!</definedName>
    <definedName name="tank1000" localSheetId="0">#REF!</definedName>
    <definedName name="tank1000">#REF!</definedName>
    <definedName name="themmowell" localSheetId="0">#REF!</definedName>
    <definedName name="themmowell">#REF!</definedName>
    <definedName name="thu" localSheetId="0">#REF!</definedName>
    <definedName name="thu">#REF!</definedName>
    <definedName name="TKO" localSheetId="0">#REF!</definedName>
    <definedName name="TKO">#REF!</definedName>
    <definedName name="vanantoandn15" localSheetId="0">#REF!</definedName>
    <definedName name="vanantoandn15">#REF!</definedName>
    <definedName name="vanbi34inox" localSheetId="0">#REF!</definedName>
    <definedName name="vanbi34inox">#REF!</definedName>
    <definedName name="vanbuom2sms304" localSheetId="0">#REF!</definedName>
    <definedName name="vanbuom2sms304">#REF!</definedName>
    <definedName name="vanchankhong27" localSheetId="0">#REF!</definedName>
    <definedName name="vanchankhong27">#REF!</definedName>
    <definedName name="vanlaymau" localSheetId="0">#REF!</definedName>
    <definedName name="vanlaymau">#REF!</definedName>
    <definedName name="vkk" localSheetId="0">#REF!</definedName>
    <definedName name="vkk">#REF!</definedName>
    <definedName name="vll" localSheetId="0">#REF!</definedName>
    <definedName name="vll">#REF!</definedName>
    <definedName name="vtcs" localSheetId="0">#REF!</definedName>
    <definedName name="vtcs">#REF!</definedName>
    <definedName name="wad" localSheetId="0">#REF!</definedName>
    <definedName name="wa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8" i="25" l="1"/>
  <c r="L37" i="25" l="1"/>
  <c r="L31" i="25"/>
  <c r="L22" i="25"/>
  <c r="L21" i="25"/>
  <c r="L68" i="25" l="1"/>
  <c r="L43" i="25"/>
  <c r="L30" i="25"/>
  <c r="L29" i="25"/>
  <c r="L28" i="25"/>
  <c r="L27" i="25"/>
  <c r="L26" i="25"/>
  <c r="L25" i="25"/>
  <c r="X10" i="25"/>
  <c r="N2" i="25"/>
</calcChain>
</file>

<file path=xl/sharedStrings.xml><?xml version="1.0" encoding="utf-8"?>
<sst xmlns="http://schemas.openxmlformats.org/spreadsheetml/2006/main" count="229" uniqueCount="167">
  <si>
    <r>
      <rPr>
        <b/>
        <sz val="20"/>
        <color theme="1"/>
        <rFont val="Times New Roman"/>
        <family val="1"/>
      </rPr>
      <t>CÔNG TY TNHH TM DV DTC</t>
    </r>
    <r>
      <rPr>
        <sz val="16"/>
        <color theme="1"/>
        <rFont val="Times New Roman"/>
        <family val="1"/>
      </rPr>
      <t xml:space="preserve">
</t>
    </r>
    <r>
      <rPr>
        <sz val="14"/>
        <color theme="1"/>
        <rFont val="Times New Roman"/>
        <family val="1"/>
      </rPr>
      <t>Địa chỉ: Số 86 Đường 65, P. Tân Phong, Q.7, TP.HCM</t>
    </r>
    <r>
      <rPr>
        <sz val="16"/>
        <color theme="1"/>
        <rFont val="Times New Roman"/>
        <family val="1"/>
      </rPr>
      <t xml:space="preserve">
MST:     0312707210</t>
    </r>
  </si>
  <si>
    <t>Số chứng từ:</t>
  </si>
  <si>
    <t>Ngày/tháng/năm:</t>
  </si>
  <si>
    <t xml:space="preserve">ĐỀ NGHỊ VẬT TƯ </t>
  </si>
  <si>
    <t xml:space="preserve">Người đề nghị : </t>
  </si>
  <si>
    <r>
      <rPr>
        <b/>
        <sz val="13"/>
        <rFont val="Times New Roman"/>
        <family val="1"/>
      </rPr>
      <t>Mã NV:</t>
    </r>
    <r>
      <rPr>
        <sz val="13"/>
        <rFont val="Times New Roman"/>
        <family val="1"/>
      </rPr>
      <t xml:space="preserve"> </t>
    </r>
  </si>
  <si>
    <t>Ngày yêu cầu có hàng:</t>
  </si>
  <si>
    <t xml:space="preserve">Chức vụ: </t>
  </si>
  <si>
    <t xml:space="preserve">Bộ phận : </t>
  </si>
  <si>
    <t>Chứng từ đối chiếu:</t>
  </si>
  <si>
    <t xml:space="preserve">Mã dự án : </t>
  </si>
  <si>
    <t>Số lần Đề nghị/DA:</t>
  </si>
  <si>
    <t>001</t>
  </si>
  <si>
    <t>Tên dự án:</t>
  </si>
  <si>
    <t>STT</t>
  </si>
  <si>
    <t>THÔNG TIN SẢN PHẨM</t>
  </si>
  <si>
    <t>Dài (mm)</t>
  </si>
  <si>
    <t>Rộng (mm)</t>
  </si>
  <si>
    <t>Cao (mm)</t>
  </si>
  <si>
    <t>Đơn vị tính</t>
  </si>
  <si>
    <t xml:space="preserve">Số lượng </t>
  </si>
  <si>
    <t>Độ dày (mm)</t>
  </si>
  <si>
    <t>Diễn giải quy cách / yêu cầu</t>
  </si>
  <si>
    <t>Ghi chú</t>
  </si>
  <si>
    <t>Cái</t>
  </si>
  <si>
    <t xml:space="preserve">Racco </t>
  </si>
  <si>
    <t xml:space="preserve">Co ren 90° </t>
  </si>
  <si>
    <t>Nối ren 2 đầu kép</t>
  </si>
  <si>
    <t>Ngã chữ T</t>
  </si>
  <si>
    <t>Bộ lọc đường ống ( Bộ/3 cái )</t>
  </si>
  <si>
    <t>Theo máy nén khí</t>
  </si>
  <si>
    <t>Van xả tự động</t>
  </si>
  <si>
    <t>Cây</t>
  </si>
  <si>
    <t>Nối ren 2 đầu kép 21/21</t>
  </si>
  <si>
    <t>Bộ</t>
  </si>
  <si>
    <t xml:space="preserve">Cái </t>
  </si>
  <si>
    <t>Mét</t>
  </si>
  <si>
    <t>Dây rút nhựa size 4x300mm</t>
  </si>
  <si>
    <t>Bịch</t>
  </si>
  <si>
    <t>Van khóa đồng tay gạt 2 đầu ren trong 21</t>
  </si>
  <si>
    <t>Băng keo non</t>
  </si>
  <si>
    <t>Cuộn</t>
  </si>
  <si>
    <t>Người đề nghị</t>
  </si>
  <si>
    <t>Trưởng bộ phận</t>
  </si>
  <si>
    <t>Giám đốc</t>
  </si>
  <si>
    <t>Mẫu số 01/21: KL</t>
  </si>
  <si>
    <t>Ban hành: 17/05/21</t>
  </si>
  <si>
    <t>PHIẾU NHẬP KHO THÀNH PHẨM</t>
  </si>
  <si>
    <t xml:space="preserve">Ngày        tháng        năm               </t>
  </si>
  <si>
    <t>Số……………</t>
  </si>
  <si>
    <t>Bên giao hàng:</t>
  </si>
  <si>
    <t>Theo……….số……..</t>
  </si>
  <si>
    <t xml:space="preserve">Ngày………..tháng………….năm……...           </t>
  </si>
  <si>
    <t>Nhập tại kho:</t>
  </si>
  <si>
    <t>Địa điểm:</t>
  </si>
  <si>
    <t>Mã hàng</t>
  </si>
  <si>
    <t>Tên nhãn hiệu, quy cách, dụng cụ, 
sản phẩm, hàng hóa</t>
  </si>
  <si>
    <t>Tổng kho</t>
  </si>
  <si>
    <t>ĐVT</t>
  </si>
  <si>
    <t>Số lượng</t>
  </si>
  <si>
    <t>Ca giao</t>
  </si>
  <si>
    <t>Ghi Chú</t>
  </si>
  <si>
    <t>Số 
thùng</t>
  </si>
  <si>
    <t>SL 
/Thùng</t>
  </si>
  <si>
    <t>SL
 nhập</t>
  </si>
  <si>
    <t>2</t>
  </si>
  <si>
    <t>QC</t>
  </si>
  <si>
    <t>Trưởng Ca</t>
  </si>
  <si>
    <t>Thủ kho</t>
  </si>
  <si>
    <t>Quản Lý</t>
  </si>
  <si>
    <t xml:space="preserve">PHIẾU NHẬP KHO </t>
  </si>
  <si>
    <t>Mã hàng TP</t>
  </si>
  <si>
    <t>Mã hàng NVL</t>
  </si>
  <si>
    <t>Mã</t>
  </si>
  <si>
    <t>BKN</t>
  </si>
  <si>
    <t>CNR21-12</t>
  </si>
  <si>
    <t>N2DRK21</t>
  </si>
  <si>
    <t>SVS-MNK</t>
  </si>
  <si>
    <t>DR-4.300</t>
  </si>
  <si>
    <t>VANK2DR-21</t>
  </si>
  <si>
    <t>DTC-</t>
  </si>
  <si>
    <t>Sợi</t>
  </si>
  <si>
    <t>Len (cuộn tròn quấn ống ren khí nén)</t>
  </si>
  <si>
    <t>LEN_ORKN</t>
  </si>
  <si>
    <t>Máy</t>
  </si>
  <si>
    <t>Đường khí nén bảo trì</t>
  </si>
  <si>
    <t>Cút nối nhanh ren ngoài 21 nối ống Ø8mm</t>
  </si>
  <si>
    <t>ON21</t>
  </si>
  <si>
    <t>Ống nhựa Ø21mm</t>
  </si>
  <si>
    <t>CNNT21</t>
  </si>
  <si>
    <t>Co nhựa nối ống 21 có 1 đầu ren 21</t>
  </si>
  <si>
    <t>TNO21</t>
  </si>
  <si>
    <t>Tê nối ống 21 có 1 đầu ren 21</t>
  </si>
  <si>
    <t>CTO21</t>
  </si>
  <si>
    <t>Co trơn ống  Ø21</t>
  </si>
  <si>
    <t>TNOT21</t>
  </si>
  <si>
    <t>Tê nối ống trơn  Ø21</t>
  </si>
  <si>
    <t>NOT21</t>
  </si>
  <si>
    <t>Nối ống trơn Ø21</t>
  </si>
  <si>
    <t>C.OMG21</t>
  </si>
  <si>
    <t>Cùm Ômega Ø21</t>
  </si>
  <si>
    <t>TKN8V</t>
  </si>
  <si>
    <t>Tắc kê nhựa 8 + vít</t>
  </si>
  <si>
    <t>KD-ON</t>
  </si>
  <si>
    <t>Keo dán ống nhựa 0.5kg</t>
  </si>
  <si>
    <t>Hộp</t>
  </si>
  <si>
    <t>COSON30</t>
  </si>
  <si>
    <t>Cọ sơn 30mm</t>
  </si>
  <si>
    <t>DC100</t>
  </si>
  <si>
    <t>Đá cắt 100mm</t>
  </si>
  <si>
    <t>Miếng</t>
  </si>
  <si>
    <t>NHOT-MRO</t>
  </si>
  <si>
    <t>Nhớt máy ren ống</t>
  </si>
  <si>
    <t>Lít</t>
  </si>
  <si>
    <t>CLS50</t>
  </si>
  <si>
    <t>Con lăn sơn 50mm</t>
  </si>
  <si>
    <t>Con</t>
  </si>
  <si>
    <t>Bao tay len</t>
  </si>
  <si>
    <t>Đôi</t>
  </si>
  <si>
    <t>Giẻ lau</t>
  </si>
  <si>
    <t>Kg</t>
  </si>
  <si>
    <t>Que hàn 2.5mm</t>
  </si>
  <si>
    <t>VXD-MICB</t>
  </si>
  <si>
    <t>Van điện tử xả nước tự động Joc MIC-B (230V/15W)</t>
  </si>
  <si>
    <t>Nối hai đầu ren kép 21/21</t>
  </si>
  <si>
    <t>COREN90-15</t>
  </si>
  <si>
    <t>Co ren 21</t>
  </si>
  <si>
    <r>
      <t>Dây điện 2x1.5mm</t>
    </r>
    <r>
      <rPr>
        <sz val="13"/>
        <rFont val=".VnArial Narrow"/>
        <family val="2"/>
      </rPr>
      <t>²</t>
    </r>
  </si>
  <si>
    <t xml:space="preserve">KHUYẾN NGHỊ KHÁCH HÀNG </t>
  </si>
  <si>
    <t>VẬT TƯ ĐIỆN TẠM TÍNH</t>
  </si>
  <si>
    <t>DN15</t>
  </si>
  <si>
    <t>Đồng thau Ren 21, ống Ø8</t>
  </si>
  <si>
    <t>Bình chứa khí nén + phụ kiện (Van an toàn, van xả đáy, đồng hồ,...)</t>
  </si>
  <si>
    <t>Làm bát đỡ đường ống, cụm bypass</t>
  </si>
  <si>
    <t>Lấy khí nén bảo trì máy</t>
  </si>
  <si>
    <t>Sơn bạc (Bạch Tuyết) 0.5Kg</t>
  </si>
  <si>
    <t>Đây là thiết bị khuyến nghị khách hàng gắn thêm (Nếu không sử dụng vui lòng bỏ qua phần này).</t>
  </si>
  <si>
    <t>Tuỳ thuộc vào bố trí máy nén, máy sấy, cách đi dây và vị trí đặt MCCB cấp nguồn cho máy nén khí; sau khi giao và đưa máy vào vị trí mới xác định cụ thể vật tư điện.</t>
  </si>
  <si>
    <t xml:space="preserve">Máy sấy khí nén </t>
  </si>
  <si>
    <t>Dây nguồn cấp điện cho máy sấy khí CV 3x2.0</t>
  </si>
  <si>
    <t>OHOI-8</t>
  </si>
  <si>
    <t>Ống mềm Ø8mm</t>
  </si>
  <si>
    <t>Ø8</t>
  </si>
  <si>
    <t>V40 x3mm, dài 6m</t>
  </si>
  <si>
    <t xml:space="preserve">Súng xịt hơi + ống xoắn hơi 9m </t>
  </si>
  <si>
    <t>Cút Y nối nhanh ống khí nén Ф8mm</t>
  </si>
  <si>
    <t>Máy nén khí 10HP</t>
  </si>
  <si>
    <t>Vật tư lắp đặt hệ máy nén khí 10HP</t>
  </si>
  <si>
    <t>015QPS/001CTA</t>
  </si>
  <si>
    <t>DN20,PN16</t>
  </si>
  <si>
    <t>Van bi đòng DN20, PN16 ( loại tay gạt)</t>
  </si>
  <si>
    <t>DN20</t>
  </si>
  <si>
    <t>Sin làm kín Rắc-co Ø27 *3mm</t>
  </si>
  <si>
    <t>Ø27 *3mm</t>
  </si>
  <si>
    <t>Ống kẽm Ø27 *3mm*6000</t>
  </si>
  <si>
    <t>Ø27 *3mm*6000mm</t>
  </si>
  <si>
    <t>DN20/15</t>
  </si>
  <si>
    <t>Tê giảm ren 27/21</t>
  </si>
  <si>
    <t>Măng song kẽm  Ø27 ( nối ren trong ống 27)</t>
  </si>
  <si>
    <t>Cùm U (ren M6) cố định ống 27</t>
  </si>
  <si>
    <t>Cà rá kẽm ( Giảm Ø34-Ø27) Ren ngoài 34, ren trong 27</t>
  </si>
  <si>
    <t>Bộ dao ren ống 1/2 - 3/4"</t>
  </si>
  <si>
    <t>Dao tiện ren ống 1/2 - 3/4" (DN15 - DN20)</t>
  </si>
  <si>
    <t>MCCB 3pha 30A</t>
  </si>
  <si>
    <t>Dây điện cấp nguồn cho máy nén khí CV 3x10mm² + 1x6</t>
  </si>
  <si>
    <t>MCB - 6A cấp nguồn cho máy sấy khí</t>
  </si>
  <si>
    <t>VẬT TƯ LẮP ĐẶT BỘ MÁY NÉN KHÍ 10HP TIÊU CHUẨN THEO SƠ ĐỒ</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</si>
</sst>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quot;Dep Code: &quot;\ ###"/>
    <numFmt numFmtId="166" formatCode="[$-1010000]d/m/yyyy;@"/>
    <numFmt numFmtId="167" formatCode="_(* #,##0_);_(* \(#,##0\);_(* &quot;-&quot;??_);_(@_)"/>
  </numFmts>
  <fonts count="25">
    <font>
      <sz val="11"/>
      <color theme="1"/>
      <name val="Calibri"/>
      <charset val="134"/>
      <scheme val="minor"/>
    </font>
    <font>
      <sz val="11"/>
      <color theme="1"/>
      <name val="Times New Roman"/>
      <family val="1"/>
    </font>
    <font>
      <b/>
      <sz val="10"/>
      <color theme="1"/>
      <name val="Times New Roman"/>
      <family val="1"/>
    </font>
    <font>
      <b/>
      <i/>
      <sz val="11"/>
      <color theme="1"/>
      <name val="Times New Roman"/>
      <family val="1"/>
    </font>
    <font>
      <b/>
      <sz val="18"/>
      <color theme="1"/>
      <name val="Times New Roman"/>
      <family val="1"/>
    </font>
    <font>
      <sz val="12"/>
      <color theme="1"/>
      <name val="Times New Roman"/>
      <family val="1"/>
    </font>
    <font>
      <b/>
      <sz val="11"/>
      <color theme="1"/>
      <name val="Times New Roman"/>
      <family val="1"/>
    </font>
    <font>
      <sz val="12"/>
      <name val="Times New Roman"/>
      <family val="1"/>
    </font>
    <font>
      <b/>
      <sz val="12"/>
      <name val="Times New Roman"/>
      <family val="1"/>
    </font>
    <font>
      <b/>
      <sz val="9"/>
      <color theme="1"/>
      <name val="Times New Roman"/>
      <family val="1"/>
    </font>
    <font>
      <sz val="16"/>
      <color theme="1"/>
      <name val="Times New Roman"/>
      <family val="1"/>
    </font>
    <font>
      <b/>
      <sz val="28"/>
      <name val="Times New Roman"/>
      <family val="1"/>
    </font>
    <font>
      <b/>
      <sz val="13"/>
      <name val="Times New Roman"/>
      <family val="1"/>
    </font>
    <font>
      <sz val="13"/>
      <name val="Times New Roman"/>
      <family val="1"/>
    </font>
    <font>
      <sz val="13"/>
      <color theme="1"/>
      <name val="Times New Roman"/>
      <family val="1"/>
    </font>
    <font>
      <b/>
      <sz val="14"/>
      <name val="Times New Roman"/>
      <family val="1"/>
    </font>
    <font>
      <sz val="10"/>
      <name val="VNI-Times"/>
    </font>
    <font>
      <sz val="10"/>
      <name val="Arial"/>
      <family val="2"/>
    </font>
    <font>
      <b/>
      <sz val="20"/>
      <color theme="1"/>
      <name val="Times New Roman"/>
      <family val="1"/>
    </font>
    <font>
      <sz val="14"/>
      <color theme="1"/>
      <name val="Times New Roman"/>
      <family val="1"/>
    </font>
    <font>
      <b/>
      <sz val="13"/>
      <color theme="1"/>
      <name val="Times New Roman"/>
      <family val="1"/>
    </font>
    <font>
      <sz val="13"/>
      <color theme="1"/>
      <name val="Times New Roman"/>
      <family val="1"/>
    </font>
    <font>
      <sz val="13"/>
      <name val="Times New Roman"/>
      <family val="1"/>
    </font>
    <font>
      <sz val="13"/>
      <name val=".VnArial Narrow"/>
      <family val="2"/>
    </font>
    <font>
      <sz val="13"/>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hair">
        <color auto="1"/>
      </top>
      <bottom/>
      <diagonal/>
    </border>
  </borders>
  <cellStyleXfs count="6">
    <xf numFmtId="0" fontId="0" fillId="0" borderId="0"/>
    <xf numFmtId="43" fontId="16" fillId="0" borderId="0" applyFont="0" applyFill="0" applyBorder="0" applyAlignment="0" applyProtection="0"/>
    <xf numFmtId="0" fontId="17" fillId="0" borderId="0"/>
    <xf numFmtId="0" fontId="16" fillId="0" borderId="0"/>
    <xf numFmtId="0" fontId="17" fillId="0" borderId="0"/>
    <xf numFmtId="0" fontId="17" fillId="0" borderId="0"/>
  </cellStyleXfs>
  <cellXfs count="211">
    <xf numFmtId="0" fontId="0" fillId="0" borderId="0" xfId="0"/>
    <xf numFmtId="0" fontId="1" fillId="0" borderId="0" xfId="0" applyFont="1" applyAlignment="1">
      <alignment vertical="center"/>
    </xf>
    <xf numFmtId="0" fontId="1" fillId="0" borderId="0" xfId="0" applyFont="1"/>
    <xf numFmtId="0" fontId="1" fillId="2" borderId="0" xfId="0" applyFont="1" applyFill="1"/>
    <xf numFmtId="0" fontId="6"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xf numFmtId="0" fontId="6" fillId="0" borderId="0" xfId="0" applyFont="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0" fontId="1" fillId="0" borderId="0" xfId="0" applyFont="1" applyAlignment="1">
      <alignment horizontal="center"/>
    </xf>
    <xf numFmtId="0" fontId="6" fillId="0" borderId="4" xfId="0" applyFont="1" applyBorder="1" applyAlignment="1">
      <alignment horizontal="center" vertical="center" wrapText="1"/>
    </xf>
    <xf numFmtId="0" fontId="7" fillId="0" borderId="0" xfId="0" applyFont="1"/>
    <xf numFmtId="0" fontId="8" fillId="0" borderId="0" xfId="3" applyFont="1" applyAlignment="1">
      <alignment vertical="center"/>
    </xf>
    <xf numFmtId="0" fontId="7" fillId="0" borderId="0" xfId="3" applyFont="1"/>
    <xf numFmtId="0" fontId="7" fillId="0" borderId="0" xfId="3" applyFont="1" applyAlignment="1">
      <alignment wrapText="1"/>
    </xf>
    <xf numFmtId="0" fontId="9" fillId="0" borderId="10" xfId="3" applyFont="1" applyBorder="1" applyAlignment="1">
      <alignment vertical="center"/>
    </xf>
    <xf numFmtId="0" fontId="9" fillId="0" borderId="11" xfId="3" applyFont="1" applyBorder="1" applyAlignment="1">
      <alignment vertical="center" wrapText="1"/>
    </xf>
    <xf numFmtId="0" fontId="9" fillId="0" borderId="12" xfId="3" applyFont="1" applyBorder="1" applyAlignment="1">
      <alignment vertical="center" wrapText="1"/>
    </xf>
    <xf numFmtId="0" fontId="9" fillId="0" borderId="2" xfId="3" applyFont="1" applyBorder="1" applyAlignment="1">
      <alignment vertical="center"/>
    </xf>
    <xf numFmtId="0" fontId="9" fillId="0" borderId="3" xfId="3" applyFont="1" applyBorder="1" applyAlignment="1">
      <alignment vertical="center" wrapText="1"/>
    </xf>
    <xf numFmtId="0" fontId="9" fillId="0" borderId="6" xfId="3" applyFont="1" applyBorder="1" applyAlignment="1">
      <alignment vertical="center" wrapText="1"/>
    </xf>
    <xf numFmtId="0" fontId="9" fillId="0" borderId="0" xfId="3" applyFont="1" applyAlignment="1">
      <alignment vertical="center"/>
    </xf>
    <xf numFmtId="0" fontId="9" fillId="0" borderId="0" xfId="3" applyFont="1" applyAlignment="1">
      <alignment vertical="center" wrapText="1"/>
    </xf>
    <xf numFmtId="0" fontId="7" fillId="3" borderId="0" xfId="5" applyFont="1" applyFill="1" applyAlignment="1" applyProtection="1">
      <alignment vertical="top" wrapText="1"/>
      <protection hidden="1"/>
    </xf>
    <xf numFmtId="0" fontId="12" fillId="0" borderId="0" xfId="4" applyFont="1" applyAlignment="1">
      <alignment horizontal="left" vertical="center" wrapText="1"/>
    </xf>
    <xf numFmtId="0" fontId="12" fillId="0" borderId="0" xfId="4" applyFont="1" applyAlignment="1">
      <alignment horizontal="left" vertical="center" wrapText="1" indent="1"/>
    </xf>
    <xf numFmtId="0" fontId="13" fillId="0" borderId="0" xfId="4" applyFont="1" applyAlignment="1" applyProtection="1">
      <alignment vertical="center"/>
      <protection locked="0"/>
    </xf>
    <xf numFmtId="0" fontId="12" fillId="0" borderId="0" xfId="4" applyFont="1" applyAlignment="1">
      <alignment horizontal="left" vertical="center"/>
    </xf>
    <xf numFmtId="0" fontId="12" fillId="0" borderId="0" xfId="4" applyFont="1" applyAlignment="1">
      <alignment vertical="center" wrapText="1"/>
    </xf>
    <xf numFmtId="0" fontId="12" fillId="0" borderId="4" xfId="4" applyFont="1" applyBorder="1" applyAlignment="1">
      <alignment vertical="center" wrapText="1"/>
    </xf>
    <xf numFmtId="0" fontId="13" fillId="0" borderId="0" xfId="3" applyFont="1" applyAlignment="1">
      <alignment wrapText="1"/>
    </xf>
    <xf numFmtId="165" fontId="12" fillId="0" borderId="0" xfId="4" applyNumberFormat="1" applyFont="1" applyAlignment="1">
      <alignment horizontal="left" vertical="center"/>
    </xf>
    <xf numFmtId="0" fontId="13" fillId="0" borderId="0" xfId="3" applyFont="1"/>
    <xf numFmtId="0" fontId="12" fillId="0" borderId="0" xfId="4" applyFont="1" applyAlignment="1" applyProtection="1">
      <alignment horizontal="left" vertical="center"/>
      <protection locked="0"/>
    </xf>
    <xf numFmtId="0" fontId="12" fillId="0" borderId="0" xfId="4" applyFont="1" applyAlignment="1" applyProtection="1">
      <alignment horizontal="left" vertical="center" wrapText="1"/>
      <protection locked="0"/>
    </xf>
    <xf numFmtId="0" fontId="12" fillId="0" borderId="4" xfId="4" applyFont="1" applyBorder="1" applyAlignment="1" applyProtection="1">
      <alignment horizontal="left" vertical="center" wrapText="1"/>
      <protection locked="0"/>
    </xf>
    <xf numFmtId="0" fontId="12" fillId="0" borderId="0" xfId="4" applyFont="1" applyAlignment="1">
      <alignment vertical="center"/>
    </xf>
    <xf numFmtId="0" fontId="12" fillId="0" borderId="4" xfId="3" applyFont="1" applyBorder="1" applyAlignment="1">
      <alignment horizontal="left" vertical="center" wrapText="1"/>
    </xf>
    <xf numFmtId="0" fontId="8" fillId="0" borderId="0" xfId="4" applyFont="1" applyAlignment="1" applyProtection="1">
      <alignment horizontal="left" vertical="center"/>
      <protection locked="0"/>
    </xf>
    <xf numFmtId="0" fontId="8" fillId="0" borderId="0" xfId="4" applyFont="1" applyAlignment="1" applyProtection="1">
      <alignment horizontal="left" vertical="center" wrapText="1"/>
      <protection locked="0"/>
    </xf>
    <xf numFmtId="0" fontId="12" fillId="0" borderId="13" xfId="0" applyFont="1" applyBorder="1" applyAlignment="1">
      <alignment vertical="center"/>
    </xf>
    <xf numFmtId="3" fontId="12"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3" fontId="14" fillId="0" borderId="20" xfId="0" applyNumberFormat="1" applyFont="1" applyBorder="1" applyAlignment="1">
      <alignment horizontal="center" vertical="center"/>
    </xf>
    <xf numFmtId="0" fontId="8" fillId="0" borderId="0" xfId="3" applyFont="1" applyAlignment="1">
      <alignment vertical="center" wrapTex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0" xfId="3" applyFont="1" applyAlignment="1">
      <alignment vertical="center"/>
    </xf>
    <xf numFmtId="0" fontId="7" fillId="3" borderId="4" xfId="5" applyFont="1" applyFill="1" applyBorder="1" applyAlignment="1" applyProtection="1">
      <alignment horizontal="left" vertical="center" wrapText="1"/>
      <protection hidden="1"/>
    </xf>
    <xf numFmtId="0" fontId="12" fillId="0" borderId="0" xfId="3" applyFont="1" applyAlignment="1">
      <alignment vertical="center"/>
    </xf>
    <xf numFmtId="0" fontId="12" fillId="0" borderId="0" xfId="4" applyFont="1" applyAlignment="1" applyProtection="1">
      <alignment horizontal="center" vertical="center"/>
      <protection locked="0"/>
    </xf>
    <xf numFmtId="3" fontId="13" fillId="0" borderId="0" xfId="3" applyNumberFormat="1" applyFont="1"/>
    <xf numFmtId="3" fontId="12" fillId="0" borderId="13" xfId="0" applyNumberFormat="1" applyFont="1" applyBorder="1" applyAlignment="1">
      <alignment horizontal="center" vertical="center"/>
    </xf>
    <xf numFmtId="167" fontId="5" fillId="0" borderId="14" xfId="0" applyNumberFormat="1" applyFont="1" applyBorder="1" applyAlignment="1">
      <alignment horizontal="center" vertical="center"/>
    </xf>
    <xf numFmtId="4" fontId="5" fillId="0" borderId="14" xfId="0" applyNumberFormat="1" applyFont="1" applyBorder="1" applyAlignment="1">
      <alignment horizontal="center" vertical="center" wrapText="1"/>
    </xf>
    <xf numFmtId="3" fontId="5" fillId="0" borderId="14"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4" xfId="0" applyFont="1" applyBorder="1" applyAlignment="1">
      <alignment horizontal="center" vertical="center" wrapText="1"/>
    </xf>
    <xf numFmtId="3" fontId="14" fillId="0" borderId="14" xfId="0" applyNumberFormat="1" applyFont="1" applyBorder="1" applyAlignment="1">
      <alignment vertical="center" wrapText="1"/>
    </xf>
    <xf numFmtId="1" fontId="14" fillId="0" borderId="14" xfId="0" applyNumberFormat="1" applyFont="1" applyBorder="1" applyAlignment="1">
      <alignment horizontal="center" vertical="center" wrapText="1"/>
    </xf>
    <xf numFmtId="0" fontId="7" fillId="0" borderId="0" xfId="0" applyFont="1" applyAlignment="1">
      <alignment horizontal="center" vertical="center"/>
    </xf>
    <xf numFmtId="0" fontId="14" fillId="0" borderId="20" xfId="0" applyFont="1" applyBorder="1" applyAlignment="1">
      <alignment horizontal="center" vertical="center" wrapText="1"/>
    </xf>
    <xf numFmtId="3" fontId="14" fillId="0" borderId="20" xfId="0" applyNumberFormat="1" applyFont="1" applyBorder="1" applyAlignment="1">
      <alignment vertical="center" wrapText="1"/>
    </xf>
    <xf numFmtId="0" fontId="1" fillId="0" borderId="4" xfId="0" quotePrefix="1" applyFont="1" applyBorder="1" applyAlignment="1">
      <alignment horizont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5" fillId="0" borderId="0" xfId="3" applyFont="1" applyAlignment="1">
      <alignment horizontal="center" vertical="center"/>
    </xf>
    <xf numFmtId="3" fontId="14" fillId="0" borderId="15" xfId="0" applyNumberFormat="1" applyFont="1" applyBorder="1" applyAlignment="1">
      <alignment vertical="center" wrapText="1"/>
    </xf>
    <xf numFmtId="0" fontId="9" fillId="0" borderId="11" xfId="3" applyFont="1" applyBorder="1" applyAlignment="1">
      <alignment vertical="center"/>
    </xf>
    <xf numFmtId="0" fontId="9" fillId="0" borderId="3" xfId="3" applyFont="1" applyBorder="1" applyAlignment="1">
      <alignment vertical="center"/>
    </xf>
    <xf numFmtId="0" fontId="13" fillId="0" borderId="14" xfId="0" applyFont="1" applyBorder="1" applyAlignment="1">
      <alignment horizontal="center" vertical="center"/>
    </xf>
    <xf numFmtId="4" fontId="14" fillId="0" borderId="14"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4" borderId="14" xfId="0" applyFont="1" applyFill="1" applyBorder="1" applyAlignment="1">
      <alignment horizontal="center" vertical="center"/>
    </xf>
    <xf numFmtId="0" fontId="14" fillId="4" borderId="14" xfId="0" applyFont="1" applyFill="1" applyBorder="1" applyAlignment="1">
      <alignment horizontal="center" vertical="center" wrapText="1"/>
    </xf>
    <xf numFmtId="0" fontId="21" fillId="0" borderId="4" xfId="0" applyFont="1" applyBorder="1" applyAlignment="1">
      <alignment horizontal="center" vertical="center"/>
    </xf>
    <xf numFmtId="3" fontId="21"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3" fontId="21" fillId="0" borderId="4" xfId="0" applyNumberFormat="1" applyFont="1" applyFill="1" applyBorder="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7" fillId="4" borderId="14" xfId="0" applyFont="1" applyFill="1" applyBorder="1" applyAlignment="1">
      <alignment horizontal="center" vertical="center"/>
    </xf>
    <xf numFmtId="3" fontId="5" fillId="4" borderId="14" xfId="0" applyNumberFormat="1" applyFont="1" applyFill="1" applyBorder="1" applyAlignment="1">
      <alignment horizontal="center" vertical="center"/>
    </xf>
    <xf numFmtId="167" fontId="5" fillId="4" borderId="14" xfId="0" applyNumberFormat="1" applyFont="1" applyFill="1" applyBorder="1" applyAlignment="1">
      <alignment horizontal="center" vertical="center"/>
    </xf>
    <xf numFmtId="4" fontId="5" fillId="4" borderId="14" xfId="0" applyNumberFormat="1" applyFont="1" applyFill="1" applyBorder="1" applyAlignment="1">
      <alignment horizontal="center" vertical="center" wrapText="1"/>
    </xf>
    <xf numFmtId="3" fontId="5" fillId="4" borderId="14" xfId="0" applyNumberFormat="1" applyFont="1" applyFill="1" applyBorder="1" applyAlignment="1">
      <alignment vertical="center" wrapText="1"/>
    </xf>
    <xf numFmtId="3" fontId="14" fillId="4" borderId="14" xfId="0" applyNumberFormat="1"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1" fillId="0" borderId="5" xfId="0" applyFont="1" applyFill="1" applyBorder="1" applyAlignment="1">
      <alignment horizontal="center" vertical="center"/>
    </xf>
    <xf numFmtId="0" fontId="22" fillId="0" borderId="3" xfId="0" applyFont="1" applyFill="1" applyBorder="1" applyAlignment="1">
      <alignment horizontal="left" vertical="center"/>
    </xf>
    <xf numFmtId="0" fontId="22" fillId="0" borderId="6" xfId="0" applyFont="1" applyFill="1" applyBorder="1" applyAlignment="1">
      <alignment horizontal="left" vertical="center"/>
    </xf>
    <xf numFmtId="3" fontId="21" fillId="0" borderId="5"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2" borderId="14" xfId="0" applyFont="1" applyFill="1" applyBorder="1" applyAlignment="1">
      <alignment horizontal="center" vertical="center"/>
    </xf>
    <xf numFmtId="0" fontId="14" fillId="2" borderId="20" xfId="0" applyFont="1" applyFill="1" applyBorder="1" applyAlignment="1">
      <alignment horizontal="center" vertical="center"/>
    </xf>
    <xf numFmtId="3" fontId="5" fillId="0" borderId="15" xfId="0" applyNumberFormat="1" applyFont="1" applyFill="1" applyBorder="1" applyAlignment="1">
      <alignment vertical="center" wrapText="1"/>
    </xf>
    <xf numFmtId="0" fontId="22" fillId="0" borderId="4" xfId="0" applyFont="1" applyFill="1" applyBorder="1" applyAlignment="1">
      <alignment horizontal="center" vertical="center"/>
    </xf>
    <xf numFmtId="0" fontId="14"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3" fontId="14" fillId="0" borderId="7"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0" borderId="14" xfId="0" applyFont="1" applyBorder="1" applyAlignment="1">
      <alignment horizontal="center" vertical="center"/>
    </xf>
    <xf numFmtId="0" fontId="13" fillId="0" borderId="14" xfId="0" applyFont="1" applyBorder="1" applyAlignment="1">
      <alignment vertical="center"/>
    </xf>
    <xf numFmtId="3" fontId="14" fillId="0" borderId="1" xfId="0" applyNumberFormat="1" applyFont="1" applyBorder="1" applyAlignment="1">
      <alignment horizontal="center" vertical="center" wrapText="1"/>
    </xf>
    <xf numFmtId="3" fontId="14" fillId="0" borderId="28" xfId="0" applyNumberFormat="1" applyFont="1" applyBorder="1" applyAlignment="1">
      <alignment horizontal="center" vertical="center" wrapText="1"/>
    </xf>
    <xf numFmtId="3" fontId="14" fillId="0" borderId="16" xfId="0" applyNumberFormat="1" applyFont="1" applyBorder="1" applyAlignment="1">
      <alignment horizontal="center"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7" fillId="0" borderId="14" xfId="0" applyFont="1" applyBorder="1" applyAlignment="1">
      <alignment horizontal="left" vertical="center"/>
    </xf>
    <xf numFmtId="3" fontId="5" fillId="0" borderId="14" xfId="0" applyNumberFormat="1" applyFont="1" applyBorder="1" applyAlignment="1">
      <alignment horizontal="center" vertical="center" wrapText="1"/>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7" fillId="0" borderId="14" xfId="0" applyFont="1" applyBorder="1" applyAlignment="1">
      <alignment vertical="center"/>
    </xf>
    <xf numFmtId="3" fontId="14" fillId="4" borderId="14" xfId="0" applyNumberFormat="1" applyFont="1" applyFill="1" applyBorder="1" applyAlignment="1">
      <alignment horizontal="center" vertical="center" wrapText="1"/>
    </xf>
    <xf numFmtId="0" fontId="13" fillId="4" borderId="14" xfId="0" applyFont="1" applyFill="1" applyBorder="1" applyAlignment="1">
      <alignment vertical="center"/>
    </xf>
    <xf numFmtId="3" fontId="14" fillId="4" borderId="17" xfId="0" applyNumberFormat="1" applyFont="1" applyFill="1" applyBorder="1" applyAlignment="1">
      <alignment horizontal="center" vertical="center" wrapText="1"/>
    </xf>
    <xf numFmtId="3" fontId="14" fillId="4" borderId="19" xfId="0" applyNumberFormat="1" applyFont="1" applyFill="1" applyBorder="1" applyAlignment="1">
      <alignment horizontal="center" vertical="center" wrapText="1"/>
    </xf>
    <xf numFmtId="0" fontId="22" fillId="0" borderId="8" xfId="0" applyFont="1" applyBorder="1" applyAlignment="1">
      <alignment horizontal="left" vertical="center"/>
    </xf>
    <xf numFmtId="0" fontId="22" fillId="0" borderId="9" xfId="0" applyFont="1" applyBorder="1" applyAlignment="1">
      <alignment horizontal="left" vertical="center"/>
    </xf>
    <xf numFmtId="3" fontId="14" fillId="0" borderId="14" xfId="0" applyNumberFormat="1" applyFont="1" applyBorder="1" applyAlignment="1">
      <alignment horizontal="center" vertical="center" wrapText="1"/>
    </xf>
    <xf numFmtId="0" fontId="10" fillId="0" borderId="4" xfId="3" applyFont="1" applyBorder="1" applyAlignment="1">
      <alignment horizontal="center" vertical="center" wrapText="1"/>
    </xf>
    <xf numFmtId="0" fontId="15" fillId="0" borderId="4" xfId="4" applyFont="1" applyBorder="1" applyAlignment="1">
      <alignment horizontal="center" vertical="center" wrapText="1"/>
    </xf>
    <xf numFmtId="166" fontId="15" fillId="0" borderId="4" xfId="4" applyNumberFormat="1" applyFont="1" applyBorder="1" applyAlignment="1">
      <alignment horizontal="center" vertical="center" wrapText="1"/>
    </xf>
    <xf numFmtId="0" fontId="11" fillId="0" borderId="4" xfId="4" applyFont="1" applyBorder="1" applyAlignment="1">
      <alignment horizontal="center" vertical="center"/>
    </xf>
    <xf numFmtId="0" fontId="12" fillId="0" borderId="4" xfId="4" applyFont="1" applyBorder="1" applyAlignment="1">
      <alignment horizontal="center" vertical="center" wrapText="1"/>
    </xf>
    <xf numFmtId="14" fontId="12" fillId="0" borderId="7" xfId="4" applyNumberFormat="1" applyFont="1" applyBorder="1" applyAlignment="1">
      <alignment horizontal="center" vertical="center" wrapText="1"/>
    </xf>
    <xf numFmtId="14" fontId="12" fillId="0" borderId="9" xfId="4" applyNumberFormat="1" applyFont="1" applyBorder="1" applyAlignment="1">
      <alignment horizontal="center" vertical="center" wrapText="1"/>
    </xf>
    <xf numFmtId="0" fontId="12" fillId="0" borderId="4" xfId="4" applyFont="1" applyBorder="1" applyAlignment="1" applyProtection="1">
      <alignment horizontal="center" vertical="center"/>
      <protection locked="0"/>
    </xf>
    <xf numFmtId="3" fontId="12" fillId="0" borderId="7" xfId="3" applyNumberFormat="1" applyFont="1" applyBorder="1" applyAlignment="1">
      <alignment horizontal="center" vertical="center"/>
    </xf>
    <xf numFmtId="3" fontId="12" fillId="0" borderId="9" xfId="3" applyNumberFormat="1" applyFont="1" applyBorder="1" applyAlignment="1">
      <alignment horizontal="center" vertical="center"/>
    </xf>
    <xf numFmtId="0" fontId="12" fillId="0" borderId="4" xfId="4" quotePrefix="1" applyFont="1" applyBorder="1" applyAlignment="1">
      <alignment horizontal="center" vertical="center"/>
    </xf>
    <xf numFmtId="0" fontId="12" fillId="0" borderId="4" xfId="4" applyFont="1" applyBorder="1" applyAlignment="1">
      <alignment horizontal="center" vertical="center"/>
    </xf>
    <xf numFmtId="0" fontId="12" fillId="0" borderId="7" xfId="4" applyFont="1" applyBorder="1" applyAlignment="1" applyProtection="1">
      <alignment horizontal="center" vertical="center" wrapText="1"/>
      <protection locked="0"/>
    </xf>
    <xf numFmtId="0" fontId="12" fillId="0" borderId="9" xfId="4" applyFont="1" applyBorder="1" applyAlignment="1" applyProtection="1">
      <alignment horizontal="center" vertical="center" wrapText="1"/>
      <protection locked="0"/>
    </xf>
    <xf numFmtId="0" fontId="13" fillId="4" borderId="14" xfId="0" applyFont="1" applyFill="1" applyBorder="1" applyAlignment="1">
      <alignment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0" fontId="13" fillId="0" borderId="14" xfId="0" applyFont="1" applyBorder="1" applyAlignment="1">
      <alignment vertical="center" wrapText="1"/>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0" fontId="13" fillId="0" borderId="17" xfId="0" applyFont="1" applyBorder="1" applyAlignment="1">
      <alignment horizontal="left" vertical="center"/>
    </xf>
    <xf numFmtId="0" fontId="13" fillId="0" borderId="18" xfId="0" applyFont="1" applyBorder="1" applyAlignment="1">
      <alignment horizontal="left" vertical="center"/>
    </xf>
    <xf numFmtId="0" fontId="13" fillId="0" borderId="19" xfId="0" applyFont="1" applyBorder="1" applyAlignment="1">
      <alignment horizontal="left"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3" fillId="0" borderId="20" xfId="0" applyFont="1" applyBorder="1" applyAlignment="1">
      <alignment vertical="center"/>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22" fillId="0" borderId="8" xfId="0" applyFont="1" applyFill="1" applyBorder="1" applyAlignment="1">
      <alignment horizontal="left" vertical="center"/>
    </xf>
    <xf numFmtId="0" fontId="22" fillId="0" borderId="9" xfId="0" applyFont="1" applyFill="1" applyBorder="1" applyAlignment="1">
      <alignment horizontal="left" vertical="center"/>
    </xf>
    <xf numFmtId="0" fontId="20" fillId="5" borderId="24"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5" xfId="0" applyFont="1" applyFill="1" applyBorder="1" applyAlignment="1">
      <alignment horizontal="center" vertical="center"/>
    </xf>
    <xf numFmtId="0" fontId="13" fillId="0" borderId="8" xfId="0" applyFont="1" applyFill="1" applyBorder="1" applyAlignment="1">
      <alignment horizontal="left" vertical="center"/>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0" fontId="15" fillId="0" borderId="0" xfId="3" applyFont="1" applyAlignment="1">
      <alignment horizontal="center" vertical="center"/>
    </xf>
    <xf numFmtId="3" fontId="21" fillId="0" borderId="17" xfId="0" applyNumberFormat="1" applyFont="1" applyBorder="1" applyAlignment="1">
      <alignment horizontal="center" vertical="center" wrapText="1"/>
    </xf>
    <xf numFmtId="0" fontId="20" fillId="4" borderId="26"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27" xfId="0" applyFont="1" applyFill="1" applyBorder="1" applyAlignment="1">
      <alignment horizontal="center" vertical="center"/>
    </xf>
    <xf numFmtId="3" fontId="14" fillId="0" borderId="10" xfId="0" applyNumberFormat="1" applyFont="1" applyBorder="1" applyAlignment="1">
      <alignment horizontal="center" vertical="center" wrapText="1"/>
    </xf>
    <xf numFmtId="3" fontId="14" fillId="0" borderId="12" xfId="0" applyNumberFormat="1" applyFont="1" applyBorder="1" applyAlignment="1">
      <alignment horizontal="center" vertical="center" wrapText="1"/>
    </xf>
    <xf numFmtId="3" fontId="14" fillId="0" borderId="26" xfId="0" applyNumberFormat="1" applyFont="1" applyBorder="1" applyAlignment="1">
      <alignment horizontal="center" vertical="center" wrapText="1"/>
    </xf>
    <xf numFmtId="3" fontId="14" fillId="0" borderId="27" xfId="0" applyNumberFormat="1"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164" fontId="1" fillId="2" borderId="3" xfId="0" applyNumberFormat="1" applyFont="1" applyFill="1" applyBorder="1" applyAlignment="1">
      <alignment horizont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right" vertical="top"/>
    </xf>
    <xf numFmtId="0" fontId="6" fillId="0" borderId="0" xfId="0" applyFont="1" applyAlignment="1">
      <alignment horizontal="center" vertical="top"/>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right" vertical="center"/>
    </xf>
    <xf numFmtId="164" fontId="1" fillId="2" borderId="0" xfId="0" applyNumberFormat="1" applyFont="1" applyFill="1" applyAlignment="1">
      <alignment horizontal="center"/>
    </xf>
    <xf numFmtId="0" fontId="2" fillId="2" borderId="0" xfId="0" applyFont="1" applyFill="1" applyAlignment="1">
      <alignment horizontal="center" vertical="top" wrapText="1"/>
    </xf>
    <xf numFmtId="0" fontId="4" fillId="2" borderId="0" xfId="0" applyFont="1" applyFill="1" applyAlignment="1">
      <alignment horizontal="center" vertical="center"/>
    </xf>
  </cellXfs>
  <cellStyles count="6">
    <cellStyle name="Comma 2" xfId="1"/>
    <cellStyle name="Normal" xfId="0" builtinId="0"/>
    <cellStyle name="Normal - Style1" xfId="2"/>
    <cellStyle name="Normal 2" xfId="3"/>
    <cellStyle name="Normal 2 3" xfId="4"/>
    <cellStyle name="Normal 3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114299</xdr:colOff>
      <xdr:row>0</xdr:row>
      <xdr:rowOff>57149</xdr:rowOff>
    </xdr:from>
    <xdr:to>
      <xdr:col>3</xdr:col>
      <xdr:colOff>1456945</xdr:colOff>
      <xdr:row>1</xdr:row>
      <xdr:rowOff>495299</xdr:rowOff>
    </xdr:to>
    <xdr:pic>
      <xdr:nvPicPr>
        <xdr:cNvPr id="2" name="Picture 1">
          <a:extLst>
            <a:ext uri="{FF2B5EF4-FFF2-40B4-BE49-F238E27FC236}">
              <a16:creationId xmlns="" xmlns:a16="http://schemas.microsoft.com/office/drawing/2014/main" id="{A29E6DB6-0C4E-452C-ADC9-B4112F030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4" y="57149"/>
          <a:ext cx="2133221"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529590</xdr:colOff>
      <xdr:row>5</xdr:row>
      <xdr:rowOff>77607</xdr:rowOff>
    </xdr:to>
    <xdr:pic>
      <xdr:nvPicPr>
        <xdr:cNvPr id="4" name="Picture 63">
          <a:extLst>
            <a:ext uri="{FF2B5EF4-FFF2-40B4-BE49-F238E27FC236}">
              <a16:creationId xmlns=""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50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107950</xdr:rowOff>
    </xdr:from>
    <xdr:to>
      <xdr:col>1</xdr:col>
      <xdr:colOff>466090</xdr:colOff>
      <xdr:row>5</xdr:row>
      <xdr:rowOff>77607</xdr:rowOff>
    </xdr:to>
    <xdr:pic>
      <xdr:nvPicPr>
        <xdr:cNvPr id="4" name="Picture 63">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AM%202019\BAO%20GIA\THANG%209\C&#212;NG%20VI&#7878;C\CK%20N&#218;I%20TH&#192;NH\C%20T&#205;NH%20KH&#7888;I%20L&#431;&#7906;NG\FILE%20B&#193;O%20GI&#193;%20M&#7850;U\Calculation%20material%20tank%20100L(Hoa%20Keo)%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L"/>
      <sheetName val="he so gia"/>
    </sheetNames>
    <sheetDataSet>
      <sheetData sheetId="0">
        <row r="3">
          <cell r="D3">
            <v>1.1299999999999999</v>
          </cell>
        </row>
      </sheetData>
      <sheetData sheetId="1" refreshError="1">
        <row r="3">
          <cell r="D3">
            <v>1.1299999999999999</v>
          </cell>
        </row>
        <row r="20">
          <cell r="D20">
            <v>100000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ummaryRight="0"/>
  </sheetPr>
  <dimension ref="A1:X76"/>
  <sheetViews>
    <sheetView showGridLines="0" tabSelected="1" topLeftCell="A53" zoomScale="90" zoomScaleNormal="90" workbookViewId="0">
      <selection activeCell="C29" sqref="C28:F29"/>
    </sheetView>
  </sheetViews>
  <sheetFormatPr defaultColWidth="9" defaultRowHeight="15.75"/>
  <cols>
    <col min="1" max="1" width="5.5703125" style="14" customWidth="1"/>
    <col min="2" max="2" width="24.28515625" style="14" customWidth="1"/>
    <col min="3" max="3" width="11.85546875" style="15" customWidth="1"/>
    <col min="4" max="4" width="30.140625" style="15" customWidth="1"/>
    <col min="5" max="5" width="7.140625" style="15" customWidth="1"/>
    <col min="6" max="6" width="10.28515625" style="15" customWidth="1"/>
    <col min="7" max="7" width="10.140625" style="15" customWidth="1"/>
    <col min="8" max="8" width="9.28515625" style="14" customWidth="1"/>
    <col min="9" max="10" width="10.5703125" style="14" customWidth="1"/>
    <col min="11" max="11" width="8.28515625" style="14" customWidth="1"/>
    <col min="12" max="12" width="9.85546875" style="14" hidden="1" customWidth="1"/>
    <col min="13" max="13" width="10.85546875" style="14" customWidth="1"/>
    <col min="14" max="14" width="23.85546875" style="14" customWidth="1"/>
    <col min="15" max="15" width="18.42578125" style="14" customWidth="1"/>
    <col min="16" max="18" width="9" style="14"/>
    <col min="19" max="19" width="11.140625" style="14" customWidth="1"/>
    <col min="20" max="22" width="9" style="14"/>
    <col min="23" max="24" width="0" style="14" hidden="1" customWidth="1"/>
    <col min="25" max="232" width="9" style="14"/>
    <col min="233" max="233" width="4.85546875" style="14" customWidth="1"/>
    <col min="234" max="234" width="11.140625" style="14" customWidth="1"/>
    <col min="235" max="235" width="25.140625" style="14" customWidth="1"/>
    <col min="236" max="236" width="13.5703125" style="14" customWidth="1"/>
    <col min="237" max="237" width="15.42578125" style="14" customWidth="1"/>
    <col min="238" max="238" width="20.85546875" style="14" customWidth="1"/>
    <col min="239" max="239" width="24.140625" style="14" customWidth="1"/>
    <col min="240" max="240" width="27.85546875" style="14" customWidth="1"/>
    <col min="241" max="241" width="12" style="14" customWidth="1"/>
    <col min="242" max="242" width="15" style="14" customWidth="1"/>
    <col min="243" max="488" width="9" style="14"/>
    <col min="489" max="489" width="4.85546875" style="14" customWidth="1"/>
    <col min="490" max="490" width="11.140625" style="14" customWidth="1"/>
    <col min="491" max="491" width="25.140625" style="14" customWidth="1"/>
    <col min="492" max="492" width="13.5703125" style="14" customWidth="1"/>
    <col min="493" max="493" width="15.42578125" style="14" customWidth="1"/>
    <col min="494" max="494" width="20.85546875" style="14" customWidth="1"/>
    <col min="495" max="495" width="24.140625" style="14" customWidth="1"/>
    <col min="496" max="496" width="27.85546875" style="14" customWidth="1"/>
    <col min="497" max="497" width="12" style="14" customWidth="1"/>
    <col min="498" max="498" width="15" style="14" customWidth="1"/>
    <col min="499" max="744" width="9" style="14"/>
    <col min="745" max="745" width="4.85546875" style="14" customWidth="1"/>
    <col min="746" max="746" width="11.140625" style="14" customWidth="1"/>
    <col min="747" max="747" width="25.140625" style="14" customWidth="1"/>
    <col min="748" max="748" width="13.5703125" style="14" customWidth="1"/>
    <col min="749" max="749" width="15.42578125" style="14" customWidth="1"/>
    <col min="750" max="750" width="20.85546875" style="14" customWidth="1"/>
    <col min="751" max="751" width="24.140625" style="14" customWidth="1"/>
    <col min="752" max="752" width="27.85546875" style="14" customWidth="1"/>
    <col min="753" max="753" width="12" style="14" customWidth="1"/>
    <col min="754" max="754" width="15" style="14" customWidth="1"/>
    <col min="755" max="1000" width="9" style="14"/>
    <col min="1001" max="1001" width="4.85546875" style="14" customWidth="1"/>
    <col min="1002" max="1002" width="11.140625" style="14" customWidth="1"/>
    <col min="1003" max="1003" width="25.140625" style="14" customWidth="1"/>
    <col min="1004" max="1004" width="13.5703125" style="14" customWidth="1"/>
    <col min="1005" max="1005" width="15.42578125" style="14" customWidth="1"/>
    <col min="1006" max="1006" width="20.85546875" style="14" customWidth="1"/>
    <col min="1007" max="1007" width="24.140625" style="14" customWidth="1"/>
    <col min="1008" max="1008" width="27.85546875" style="14" customWidth="1"/>
    <col min="1009" max="1009" width="12" style="14" customWidth="1"/>
    <col min="1010" max="1010" width="15" style="14" customWidth="1"/>
    <col min="1011" max="1256" width="9" style="14"/>
    <col min="1257" max="1257" width="4.85546875" style="14" customWidth="1"/>
    <col min="1258" max="1258" width="11.140625" style="14" customWidth="1"/>
    <col min="1259" max="1259" width="25.140625" style="14" customWidth="1"/>
    <col min="1260" max="1260" width="13.5703125" style="14" customWidth="1"/>
    <col min="1261" max="1261" width="15.42578125" style="14" customWidth="1"/>
    <col min="1262" max="1262" width="20.85546875" style="14" customWidth="1"/>
    <col min="1263" max="1263" width="24.140625" style="14" customWidth="1"/>
    <col min="1264" max="1264" width="27.85546875" style="14" customWidth="1"/>
    <col min="1265" max="1265" width="12" style="14" customWidth="1"/>
    <col min="1266" max="1266" width="15" style="14" customWidth="1"/>
    <col min="1267" max="1512" width="9" style="14"/>
    <col min="1513" max="1513" width="4.85546875" style="14" customWidth="1"/>
    <col min="1514" max="1514" width="11.140625" style="14" customWidth="1"/>
    <col min="1515" max="1515" width="25.140625" style="14" customWidth="1"/>
    <col min="1516" max="1516" width="13.5703125" style="14" customWidth="1"/>
    <col min="1517" max="1517" width="15.42578125" style="14" customWidth="1"/>
    <col min="1518" max="1518" width="20.85546875" style="14" customWidth="1"/>
    <col min="1519" max="1519" width="24.140625" style="14" customWidth="1"/>
    <col min="1520" max="1520" width="27.85546875" style="14" customWidth="1"/>
    <col min="1521" max="1521" width="12" style="14" customWidth="1"/>
    <col min="1522" max="1522" width="15" style="14" customWidth="1"/>
    <col min="1523" max="1768" width="9" style="14"/>
    <col min="1769" max="1769" width="4.85546875" style="14" customWidth="1"/>
    <col min="1770" max="1770" width="11.140625" style="14" customWidth="1"/>
    <col min="1771" max="1771" width="25.140625" style="14" customWidth="1"/>
    <col min="1772" max="1772" width="13.5703125" style="14" customWidth="1"/>
    <col min="1773" max="1773" width="15.42578125" style="14" customWidth="1"/>
    <col min="1774" max="1774" width="20.85546875" style="14" customWidth="1"/>
    <col min="1775" max="1775" width="24.140625" style="14" customWidth="1"/>
    <col min="1776" max="1776" width="27.85546875" style="14" customWidth="1"/>
    <col min="1777" max="1777" width="12" style="14" customWidth="1"/>
    <col min="1778" max="1778" width="15" style="14" customWidth="1"/>
    <col min="1779" max="2024" width="9" style="14"/>
    <col min="2025" max="2025" width="4.85546875" style="14" customWidth="1"/>
    <col min="2026" max="2026" width="11.140625" style="14" customWidth="1"/>
    <col min="2027" max="2027" width="25.140625" style="14" customWidth="1"/>
    <col min="2028" max="2028" width="13.5703125" style="14" customWidth="1"/>
    <col min="2029" max="2029" width="15.42578125" style="14" customWidth="1"/>
    <col min="2030" max="2030" width="20.85546875" style="14" customWidth="1"/>
    <col min="2031" max="2031" width="24.140625" style="14" customWidth="1"/>
    <col min="2032" max="2032" width="27.85546875" style="14" customWidth="1"/>
    <col min="2033" max="2033" width="12" style="14" customWidth="1"/>
    <col min="2034" max="2034" width="15" style="14" customWidth="1"/>
    <col min="2035" max="2280" width="9" style="14"/>
    <col min="2281" max="2281" width="4.85546875" style="14" customWidth="1"/>
    <col min="2282" max="2282" width="11.140625" style="14" customWidth="1"/>
    <col min="2283" max="2283" width="25.140625" style="14" customWidth="1"/>
    <col min="2284" max="2284" width="13.5703125" style="14" customWidth="1"/>
    <col min="2285" max="2285" width="15.42578125" style="14" customWidth="1"/>
    <col min="2286" max="2286" width="20.85546875" style="14" customWidth="1"/>
    <col min="2287" max="2287" width="24.140625" style="14" customWidth="1"/>
    <col min="2288" max="2288" width="27.85546875" style="14" customWidth="1"/>
    <col min="2289" max="2289" width="12" style="14" customWidth="1"/>
    <col min="2290" max="2290" width="15" style="14" customWidth="1"/>
    <col min="2291" max="2536" width="9" style="14"/>
    <col min="2537" max="2537" width="4.85546875" style="14" customWidth="1"/>
    <col min="2538" max="2538" width="11.140625" style="14" customWidth="1"/>
    <col min="2539" max="2539" width="25.140625" style="14" customWidth="1"/>
    <col min="2540" max="2540" width="13.5703125" style="14" customWidth="1"/>
    <col min="2541" max="2541" width="15.42578125" style="14" customWidth="1"/>
    <col min="2542" max="2542" width="20.85546875" style="14" customWidth="1"/>
    <col min="2543" max="2543" width="24.140625" style="14" customWidth="1"/>
    <col min="2544" max="2544" width="27.85546875" style="14" customWidth="1"/>
    <col min="2545" max="2545" width="12" style="14" customWidth="1"/>
    <col min="2546" max="2546" width="15" style="14" customWidth="1"/>
    <col min="2547" max="2792" width="9" style="14"/>
    <col min="2793" max="2793" width="4.85546875" style="14" customWidth="1"/>
    <col min="2794" max="2794" width="11.140625" style="14" customWidth="1"/>
    <col min="2795" max="2795" width="25.140625" style="14" customWidth="1"/>
    <col min="2796" max="2796" width="13.5703125" style="14" customWidth="1"/>
    <col min="2797" max="2797" width="15.42578125" style="14" customWidth="1"/>
    <col min="2798" max="2798" width="20.85546875" style="14" customWidth="1"/>
    <col min="2799" max="2799" width="24.140625" style="14" customWidth="1"/>
    <col min="2800" max="2800" width="27.85546875" style="14" customWidth="1"/>
    <col min="2801" max="2801" width="12" style="14" customWidth="1"/>
    <col min="2802" max="2802" width="15" style="14" customWidth="1"/>
    <col min="2803" max="3048" width="9" style="14"/>
    <col min="3049" max="3049" width="4.85546875" style="14" customWidth="1"/>
    <col min="3050" max="3050" width="11.140625" style="14" customWidth="1"/>
    <col min="3051" max="3051" width="25.140625" style="14" customWidth="1"/>
    <col min="3052" max="3052" width="13.5703125" style="14" customWidth="1"/>
    <col min="3053" max="3053" width="15.42578125" style="14" customWidth="1"/>
    <col min="3054" max="3054" width="20.85546875" style="14" customWidth="1"/>
    <col min="3055" max="3055" width="24.140625" style="14" customWidth="1"/>
    <col min="3056" max="3056" width="27.85546875" style="14" customWidth="1"/>
    <col min="3057" max="3057" width="12" style="14" customWidth="1"/>
    <col min="3058" max="3058" width="15" style="14" customWidth="1"/>
    <col min="3059" max="3304" width="9" style="14"/>
    <col min="3305" max="3305" width="4.85546875" style="14" customWidth="1"/>
    <col min="3306" max="3306" width="11.140625" style="14" customWidth="1"/>
    <col min="3307" max="3307" width="25.140625" style="14" customWidth="1"/>
    <col min="3308" max="3308" width="13.5703125" style="14" customWidth="1"/>
    <col min="3309" max="3309" width="15.42578125" style="14" customWidth="1"/>
    <col min="3310" max="3310" width="20.85546875" style="14" customWidth="1"/>
    <col min="3311" max="3311" width="24.140625" style="14" customWidth="1"/>
    <col min="3312" max="3312" width="27.85546875" style="14" customWidth="1"/>
    <col min="3313" max="3313" width="12" style="14" customWidth="1"/>
    <col min="3314" max="3314" width="15" style="14" customWidth="1"/>
    <col min="3315" max="3560" width="9" style="14"/>
    <col min="3561" max="3561" width="4.85546875" style="14" customWidth="1"/>
    <col min="3562" max="3562" width="11.140625" style="14" customWidth="1"/>
    <col min="3563" max="3563" width="25.140625" style="14" customWidth="1"/>
    <col min="3564" max="3564" width="13.5703125" style="14" customWidth="1"/>
    <col min="3565" max="3565" width="15.42578125" style="14" customWidth="1"/>
    <col min="3566" max="3566" width="20.85546875" style="14" customWidth="1"/>
    <col min="3567" max="3567" width="24.140625" style="14" customWidth="1"/>
    <col min="3568" max="3568" width="27.85546875" style="14" customWidth="1"/>
    <col min="3569" max="3569" width="12" style="14" customWidth="1"/>
    <col min="3570" max="3570" width="15" style="14" customWidth="1"/>
    <col min="3571" max="3816" width="9" style="14"/>
    <col min="3817" max="3817" width="4.85546875" style="14" customWidth="1"/>
    <col min="3818" max="3818" width="11.140625" style="14" customWidth="1"/>
    <col min="3819" max="3819" width="25.140625" style="14" customWidth="1"/>
    <col min="3820" max="3820" width="13.5703125" style="14" customWidth="1"/>
    <col min="3821" max="3821" width="15.42578125" style="14" customWidth="1"/>
    <col min="3822" max="3822" width="20.85546875" style="14" customWidth="1"/>
    <col min="3823" max="3823" width="24.140625" style="14" customWidth="1"/>
    <col min="3824" max="3824" width="27.85546875" style="14" customWidth="1"/>
    <col min="3825" max="3825" width="12" style="14" customWidth="1"/>
    <col min="3826" max="3826" width="15" style="14" customWidth="1"/>
    <col min="3827" max="4072" width="9" style="14"/>
    <col min="4073" max="4073" width="4.85546875" style="14" customWidth="1"/>
    <col min="4074" max="4074" width="11.140625" style="14" customWidth="1"/>
    <col min="4075" max="4075" width="25.140625" style="14" customWidth="1"/>
    <col min="4076" max="4076" width="13.5703125" style="14" customWidth="1"/>
    <col min="4077" max="4077" width="15.42578125" style="14" customWidth="1"/>
    <col min="4078" max="4078" width="20.85546875" style="14" customWidth="1"/>
    <col min="4079" max="4079" width="24.140625" style="14" customWidth="1"/>
    <col min="4080" max="4080" width="27.85546875" style="14" customWidth="1"/>
    <col min="4081" max="4081" width="12" style="14" customWidth="1"/>
    <col min="4082" max="4082" width="15" style="14" customWidth="1"/>
    <col min="4083" max="4328" width="9" style="14"/>
    <col min="4329" max="4329" width="4.85546875" style="14" customWidth="1"/>
    <col min="4330" max="4330" width="11.140625" style="14" customWidth="1"/>
    <col min="4331" max="4331" width="25.140625" style="14" customWidth="1"/>
    <col min="4332" max="4332" width="13.5703125" style="14" customWidth="1"/>
    <col min="4333" max="4333" width="15.42578125" style="14" customWidth="1"/>
    <col min="4334" max="4334" width="20.85546875" style="14" customWidth="1"/>
    <col min="4335" max="4335" width="24.140625" style="14" customWidth="1"/>
    <col min="4336" max="4336" width="27.85546875" style="14" customWidth="1"/>
    <col min="4337" max="4337" width="12" style="14" customWidth="1"/>
    <col min="4338" max="4338" width="15" style="14" customWidth="1"/>
    <col min="4339" max="4584" width="9" style="14"/>
    <col min="4585" max="4585" width="4.85546875" style="14" customWidth="1"/>
    <col min="4586" max="4586" width="11.140625" style="14" customWidth="1"/>
    <col min="4587" max="4587" width="25.140625" style="14" customWidth="1"/>
    <col min="4588" max="4588" width="13.5703125" style="14" customWidth="1"/>
    <col min="4589" max="4589" width="15.42578125" style="14" customWidth="1"/>
    <col min="4590" max="4590" width="20.85546875" style="14" customWidth="1"/>
    <col min="4591" max="4591" width="24.140625" style="14" customWidth="1"/>
    <col min="4592" max="4592" width="27.85546875" style="14" customWidth="1"/>
    <col min="4593" max="4593" width="12" style="14" customWidth="1"/>
    <col min="4594" max="4594" width="15" style="14" customWidth="1"/>
    <col min="4595" max="4840" width="9" style="14"/>
    <col min="4841" max="4841" width="4.85546875" style="14" customWidth="1"/>
    <col min="4842" max="4842" width="11.140625" style="14" customWidth="1"/>
    <col min="4843" max="4843" width="25.140625" style="14" customWidth="1"/>
    <col min="4844" max="4844" width="13.5703125" style="14" customWidth="1"/>
    <col min="4845" max="4845" width="15.42578125" style="14" customWidth="1"/>
    <col min="4846" max="4846" width="20.85546875" style="14" customWidth="1"/>
    <col min="4847" max="4847" width="24.140625" style="14" customWidth="1"/>
    <col min="4848" max="4848" width="27.85546875" style="14" customWidth="1"/>
    <col min="4849" max="4849" width="12" style="14" customWidth="1"/>
    <col min="4850" max="4850" width="15" style="14" customWidth="1"/>
    <col min="4851" max="5096" width="9" style="14"/>
    <col min="5097" max="5097" width="4.85546875" style="14" customWidth="1"/>
    <col min="5098" max="5098" width="11.140625" style="14" customWidth="1"/>
    <col min="5099" max="5099" width="25.140625" style="14" customWidth="1"/>
    <col min="5100" max="5100" width="13.5703125" style="14" customWidth="1"/>
    <col min="5101" max="5101" width="15.42578125" style="14" customWidth="1"/>
    <col min="5102" max="5102" width="20.85546875" style="14" customWidth="1"/>
    <col min="5103" max="5103" width="24.140625" style="14" customWidth="1"/>
    <col min="5104" max="5104" width="27.85546875" style="14" customWidth="1"/>
    <col min="5105" max="5105" width="12" style="14" customWidth="1"/>
    <col min="5106" max="5106" width="15" style="14" customWidth="1"/>
    <col min="5107" max="5352" width="9" style="14"/>
    <col min="5353" max="5353" width="4.85546875" style="14" customWidth="1"/>
    <col min="5354" max="5354" width="11.140625" style="14" customWidth="1"/>
    <col min="5355" max="5355" width="25.140625" style="14" customWidth="1"/>
    <col min="5356" max="5356" width="13.5703125" style="14" customWidth="1"/>
    <col min="5357" max="5357" width="15.42578125" style="14" customWidth="1"/>
    <col min="5358" max="5358" width="20.85546875" style="14" customWidth="1"/>
    <col min="5359" max="5359" width="24.140625" style="14" customWidth="1"/>
    <col min="5360" max="5360" width="27.85546875" style="14" customWidth="1"/>
    <col min="5361" max="5361" width="12" style="14" customWidth="1"/>
    <col min="5362" max="5362" width="15" style="14" customWidth="1"/>
    <col min="5363" max="5608" width="9" style="14"/>
    <col min="5609" max="5609" width="4.85546875" style="14" customWidth="1"/>
    <col min="5610" max="5610" width="11.140625" style="14" customWidth="1"/>
    <col min="5611" max="5611" width="25.140625" style="14" customWidth="1"/>
    <col min="5612" max="5612" width="13.5703125" style="14" customWidth="1"/>
    <col min="5613" max="5613" width="15.42578125" style="14" customWidth="1"/>
    <col min="5614" max="5614" width="20.85546875" style="14" customWidth="1"/>
    <col min="5615" max="5615" width="24.140625" style="14" customWidth="1"/>
    <col min="5616" max="5616" width="27.85546875" style="14" customWidth="1"/>
    <col min="5617" max="5617" width="12" style="14" customWidth="1"/>
    <col min="5618" max="5618" width="15" style="14" customWidth="1"/>
    <col min="5619" max="5864" width="9" style="14"/>
    <col min="5865" max="5865" width="4.85546875" style="14" customWidth="1"/>
    <col min="5866" max="5866" width="11.140625" style="14" customWidth="1"/>
    <col min="5867" max="5867" width="25.140625" style="14" customWidth="1"/>
    <col min="5868" max="5868" width="13.5703125" style="14" customWidth="1"/>
    <col min="5869" max="5869" width="15.42578125" style="14" customWidth="1"/>
    <col min="5870" max="5870" width="20.85546875" style="14" customWidth="1"/>
    <col min="5871" max="5871" width="24.140625" style="14" customWidth="1"/>
    <col min="5872" max="5872" width="27.85546875" style="14" customWidth="1"/>
    <col min="5873" max="5873" width="12" style="14" customWidth="1"/>
    <col min="5874" max="5874" width="15" style="14" customWidth="1"/>
    <col min="5875" max="6120" width="9" style="14"/>
    <col min="6121" max="6121" width="4.85546875" style="14" customWidth="1"/>
    <col min="6122" max="6122" width="11.140625" style="14" customWidth="1"/>
    <col min="6123" max="6123" width="25.140625" style="14" customWidth="1"/>
    <col min="6124" max="6124" width="13.5703125" style="14" customWidth="1"/>
    <col min="6125" max="6125" width="15.42578125" style="14" customWidth="1"/>
    <col min="6126" max="6126" width="20.85546875" style="14" customWidth="1"/>
    <col min="6127" max="6127" width="24.140625" style="14" customWidth="1"/>
    <col min="6128" max="6128" width="27.85546875" style="14" customWidth="1"/>
    <col min="6129" max="6129" width="12" style="14" customWidth="1"/>
    <col min="6130" max="6130" width="15" style="14" customWidth="1"/>
    <col min="6131" max="6376" width="9" style="14"/>
    <col min="6377" max="6377" width="4.85546875" style="14" customWidth="1"/>
    <col min="6378" max="6378" width="11.140625" style="14" customWidth="1"/>
    <col min="6379" max="6379" width="25.140625" style="14" customWidth="1"/>
    <col min="6380" max="6380" width="13.5703125" style="14" customWidth="1"/>
    <col min="6381" max="6381" width="15.42578125" style="14" customWidth="1"/>
    <col min="6382" max="6382" width="20.85546875" style="14" customWidth="1"/>
    <col min="6383" max="6383" width="24.140625" style="14" customWidth="1"/>
    <col min="6384" max="6384" width="27.85546875" style="14" customWidth="1"/>
    <col min="6385" max="6385" width="12" style="14" customWidth="1"/>
    <col min="6386" max="6386" width="15" style="14" customWidth="1"/>
    <col min="6387" max="6632" width="9" style="14"/>
    <col min="6633" max="6633" width="4.85546875" style="14" customWidth="1"/>
    <col min="6634" max="6634" width="11.140625" style="14" customWidth="1"/>
    <col min="6635" max="6635" width="25.140625" style="14" customWidth="1"/>
    <col min="6636" max="6636" width="13.5703125" style="14" customWidth="1"/>
    <col min="6637" max="6637" width="15.42578125" style="14" customWidth="1"/>
    <col min="6638" max="6638" width="20.85546875" style="14" customWidth="1"/>
    <col min="6639" max="6639" width="24.140625" style="14" customWidth="1"/>
    <col min="6640" max="6640" width="27.85546875" style="14" customWidth="1"/>
    <col min="6641" max="6641" width="12" style="14" customWidth="1"/>
    <col min="6642" max="6642" width="15" style="14" customWidth="1"/>
    <col min="6643" max="6888" width="9" style="14"/>
    <col min="6889" max="6889" width="4.85546875" style="14" customWidth="1"/>
    <col min="6890" max="6890" width="11.140625" style="14" customWidth="1"/>
    <col min="6891" max="6891" width="25.140625" style="14" customWidth="1"/>
    <col min="6892" max="6892" width="13.5703125" style="14" customWidth="1"/>
    <col min="6893" max="6893" width="15.42578125" style="14" customWidth="1"/>
    <col min="6894" max="6894" width="20.85546875" style="14" customWidth="1"/>
    <col min="6895" max="6895" width="24.140625" style="14" customWidth="1"/>
    <col min="6896" max="6896" width="27.85546875" style="14" customWidth="1"/>
    <col min="6897" max="6897" width="12" style="14" customWidth="1"/>
    <col min="6898" max="6898" width="15" style="14" customWidth="1"/>
    <col min="6899" max="7144" width="9" style="14"/>
    <col min="7145" max="7145" width="4.85546875" style="14" customWidth="1"/>
    <col min="7146" max="7146" width="11.140625" style="14" customWidth="1"/>
    <col min="7147" max="7147" width="25.140625" style="14" customWidth="1"/>
    <col min="7148" max="7148" width="13.5703125" style="14" customWidth="1"/>
    <col min="7149" max="7149" width="15.42578125" style="14" customWidth="1"/>
    <col min="7150" max="7150" width="20.85546875" style="14" customWidth="1"/>
    <col min="7151" max="7151" width="24.140625" style="14" customWidth="1"/>
    <col min="7152" max="7152" width="27.85546875" style="14" customWidth="1"/>
    <col min="7153" max="7153" width="12" style="14" customWidth="1"/>
    <col min="7154" max="7154" width="15" style="14" customWidth="1"/>
    <col min="7155" max="7400" width="9" style="14"/>
    <col min="7401" max="7401" width="4.85546875" style="14" customWidth="1"/>
    <col min="7402" max="7402" width="11.140625" style="14" customWidth="1"/>
    <col min="7403" max="7403" width="25.140625" style="14" customWidth="1"/>
    <col min="7404" max="7404" width="13.5703125" style="14" customWidth="1"/>
    <col min="7405" max="7405" width="15.42578125" style="14" customWidth="1"/>
    <col min="7406" max="7406" width="20.85546875" style="14" customWidth="1"/>
    <col min="7407" max="7407" width="24.140625" style="14" customWidth="1"/>
    <col min="7408" max="7408" width="27.85546875" style="14" customWidth="1"/>
    <col min="7409" max="7409" width="12" style="14" customWidth="1"/>
    <col min="7410" max="7410" width="15" style="14" customWidth="1"/>
    <col min="7411" max="7656" width="9" style="14"/>
    <col min="7657" max="7657" width="4.85546875" style="14" customWidth="1"/>
    <col min="7658" max="7658" width="11.140625" style="14" customWidth="1"/>
    <col min="7659" max="7659" width="25.140625" style="14" customWidth="1"/>
    <col min="7660" max="7660" width="13.5703125" style="14" customWidth="1"/>
    <col min="7661" max="7661" width="15.42578125" style="14" customWidth="1"/>
    <col min="7662" max="7662" width="20.85546875" style="14" customWidth="1"/>
    <col min="7663" max="7663" width="24.140625" style="14" customWidth="1"/>
    <col min="7664" max="7664" width="27.85546875" style="14" customWidth="1"/>
    <col min="7665" max="7665" width="12" style="14" customWidth="1"/>
    <col min="7666" max="7666" width="15" style="14" customWidth="1"/>
    <col min="7667" max="7912" width="9" style="14"/>
    <col min="7913" max="7913" width="4.85546875" style="14" customWidth="1"/>
    <col min="7914" max="7914" width="11.140625" style="14" customWidth="1"/>
    <col min="7915" max="7915" width="25.140625" style="14" customWidth="1"/>
    <col min="7916" max="7916" width="13.5703125" style="14" customWidth="1"/>
    <col min="7917" max="7917" width="15.42578125" style="14" customWidth="1"/>
    <col min="7918" max="7918" width="20.85546875" style="14" customWidth="1"/>
    <col min="7919" max="7919" width="24.140625" style="14" customWidth="1"/>
    <col min="7920" max="7920" width="27.85546875" style="14" customWidth="1"/>
    <col min="7921" max="7921" width="12" style="14" customWidth="1"/>
    <col min="7922" max="7922" width="15" style="14" customWidth="1"/>
    <col min="7923" max="8168" width="9" style="14"/>
    <col min="8169" max="8169" width="4.85546875" style="14" customWidth="1"/>
    <col min="8170" max="8170" width="11.140625" style="14" customWidth="1"/>
    <col min="8171" max="8171" width="25.140625" style="14" customWidth="1"/>
    <col min="8172" max="8172" width="13.5703125" style="14" customWidth="1"/>
    <col min="8173" max="8173" width="15.42578125" style="14" customWidth="1"/>
    <col min="8174" max="8174" width="20.85546875" style="14" customWidth="1"/>
    <col min="8175" max="8175" width="24.140625" style="14" customWidth="1"/>
    <col min="8176" max="8176" width="27.85546875" style="14" customWidth="1"/>
    <col min="8177" max="8177" width="12" style="14" customWidth="1"/>
    <col min="8178" max="8178" width="15" style="14" customWidth="1"/>
    <col min="8179" max="8424" width="9" style="14"/>
    <col min="8425" max="8425" width="4.85546875" style="14" customWidth="1"/>
    <col min="8426" max="8426" width="11.140625" style="14" customWidth="1"/>
    <col min="8427" max="8427" width="25.140625" style="14" customWidth="1"/>
    <col min="8428" max="8428" width="13.5703125" style="14" customWidth="1"/>
    <col min="8429" max="8429" width="15.42578125" style="14" customWidth="1"/>
    <col min="8430" max="8430" width="20.85546875" style="14" customWidth="1"/>
    <col min="8431" max="8431" width="24.140625" style="14" customWidth="1"/>
    <col min="8432" max="8432" width="27.85546875" style="14" customWidth="1"/>
    <col min="8433" max="8433" width="12" style="14" customWidth="1"/>
    <col min="8434" max="8434" width="15" style="14" customWidth="1"/>
    <col min="8435" max="8680" width="9" style="14"/>
    <col min="8681" max="8681" width="4.85546875" style="14" customWidth="1"/>
    <col min="8682" max="8682" width="11.140625" style="14" customWidth="1"/>
    <col min="8683" max="8683" width="25.140625" style="14" customWidth="1"/>
    <col min="8684" max="8684" width="13.5703125" style="14" customWidth="1"/>
    <col min="8685" max="8685" width="15.42578125" style="14" customWidth="1"/>
    <col min="8686" max="8686" width="20.85546875" style="14" customWidth="1"/>
    <col min="8687" max="8687" width="24.140625" style="14" customWidth="1"/>
    <col min="8688" max="8688" width="27.85546875" style="14" customWidth="1"/>
    <col min="8689" max="8689" width="12" style="14" customWidth="1"/>
    <col min="8690" max="8690" width="15" style="14" customWidth="1"/>
    <col min="8691" max="8936" width="9" style="14"/>
    <col min="8937" max="8937" width="4.85546875" style="14" customWidth="1"/>
    <col min="8938" max="8938" width="11.140625" style="14" customWidth="1"/>
    <col min="8939" max="8939" width="25.140625" style="14" customWidth="1"/>
    <col min="8940" max="8940" width="13.5703125" style="14" customWidth="1"/>
    <col min="8941" max="8941" width="15.42578125" style="14" customWidth="1"/>
    <col min="8942" max="8942" width="20.85546875" style="14" customWidth="1"/>
    <col min="8943" max="8943" width="24.140625" style="14" customWidth="1"/>
    <col min="8944" max="8944" width="27.85546875" style="14" customWidth="1"/>
    <col min="8945" max="8945" width="12" style="14" customWidth="1"/>
    <col min="8946" max="8946" width="15" style="14" customWidth="1"/>
    <col min="8947" max="9192" width="9" style="14"/>
    <col min="9193" max="9193" width="4.85546875" style="14" customWidth="1"/>
    <col min="9194" max="9194" width="11.140625" style="14" customWidth="1"/>
    <col min="9195" max="9195" width="25.140625" style="14" customWidth="1"/>
    <col min="9196" max="9196" width="13.5703125" style="14" customWidth="1"/>
    <col min="9197" max="9197" width="15.42578125" style="14" customWidth="1"/>
    <col min="9198" max="9198" width="20.85546875" style="14" customWidth="1"/>
    <col min="9199" max="9199" width="24.140625" style="14" customWidth="1"/>
    <col min="9200" max="9200" width="27.85546875" style="14" customWidth="1"/>
    <col min="9201" max="9201" width="12" style="14" customWidth="1"/>
    <col min="9202" max="9202" width="15" style="14" customWidth="1"/>
    <col min="9203" max="9448" width="9" style="14"/>
    <col min="9449" max="9449" width="4.85546875" style="14" customWidth="1"/>
    <col min="9450" max="9450" width="11.140625" style="14" customWidth="1"/>
    <col min="9451" max="9451" width="25.140625" style="14" customWidth="1"/>
    <col min="9452" max="9452" width="13.5703125" style="14" customWidth="1"/>
    <col min="9453" max="9453" width="15.42578125" style="14" customWidth="1"/>
    <col min="9454" max="9454" width="20.85546875" style="14" customWidth="1"/>
    <col min="9455" max="9455" width="24.140625" style="14" customWidth="1"/>
    <col min="9456" max="9456" width="27.85546875" style="14" customWidth="1"/>
    <col min="9457" max="9457" width="12" style="14" customWidth="1"/>
    <col min="9458" max="9458" width="15" style="14" customWidth="1"/>
    <col min="9459" max="9704" width="9" style="14"/>
    <col min="9705" max="9705" width="4.85546875" style="14" customWidth="1"/>
    <col min="9706" max="9706" width="11.140625" style="14" customWidth="1"/>
    <col min="9707" max="9707" width="25.140625" style="14" customWidth="1"/>
    <col min="9708" max="9708" width="13.5703125" style="14" customWidth="1"/>
    <col min="9709" max="9709" width="15.42578125" style="14" customWidth="1"/>
    <col min="9710" max="9710" width="20.85546875" style="14" customWidth="1"/>
    <col min="9711" max="9711" width="24.140625" style="14" customWidth="1"/>
    <col min="9712" max="9712" width="27.85546875" style="14" customWidth="1"/>
    <col min="9713" max="9713" width="12" style="14" customWidth="1"/>
    <col min="9714" max="9714" width="15" style="14" customWidth="1"/>
    <col min="9715" max="9960" width="9" style="14"/>
    <col min="9961" max="9961" width="4.85546875" style="14" customWidth="1"/>
    <col min="9962" max="9962" width="11.140625" style="14" customWidth="1"/>
    <col min="9963" max="9963" width="25.140625" style="14" customWidth="1"/>
    <col min="9964" max="9964" width="13.5703125" style="14" customWidth="1"/>
    <col min="9965" max="9965" width="15.42578125" style="14" customWidth="1"/>
    <col min="9966" max="9966" width="20.85546875" style="14" customWidth="1"/>
    <col min="9967" max="9967" width="24.140625" style="14" customWidth="1"/>
    <col min="9968" max="9968" width="27.85546875" style="14" customWidth="1"/>
    <col min="9969" max="9969" width="12" style="14" customWidth="1"/>
    <col min="9970" max="9970" width="15" style="14" customWidth="1"/>
    <col min="9971" max="10216" width="9" style="14"/>
    <col min="10217" max="10217" width="4.85546875" style="14" customWidth="1"/>
    <col min="10218" max="10218" width="11.140625" style="14" customWidth="1"/>
    <col min="10219" max="10219" width="25.140625" style="14" customWidth="1"/>
    <col min="10220" max="10220" width="13.5703125" style="14" customWidth="1"/>
    <col min="10221" max="10221" width="15.42578125" style="14" customWidth="1"/>
    <col min="10222" max="10222" width="20.85546875" style="14" customWidth="1"/>
    <col min="10223" max="10223" width="24.140625" style="14" customWidth="1"/>
    <col min="10224" max="10224" width="27.85546875" style="14" customWidth="1"/>
    <col min="10225" max="10225" width="12" style="14" customWidth="1"/>
    <col min="10226" max="10226" width="15" style="14" customWidth="1"/>
    <col min="10227" max="10472" width="9" style="14"/>
    <col min="10473" max="10473" width="4.85546875" style="14" customWidth="1"/>
    <col min="10474" max="10474" width="11.140625" style="14" customWidth="1"/>
    <col min="10475" max="10475" width="25.140625" style="14" customWidth="1"/>
    <col min="10476" max="10476" width="13.5703125" style="14" customWidth="1"/>
    <col min="10477" max="10477" width="15.42578125" style="14" customWidth="1"/>
    <col min="10478" max="10478" width="20.85546875" style="14" customWidth="1"/>
    <col min="10479" max="10479" width="24.140625" style="14" customWidth="1"/>
    <col min="10480" max="10480" width="27.85546875" style="14" customWidth="1"/>
    <col min="10481" max="10481" width="12" style="14" customWidth="1"/>
    <col min="10482" max="10482" width="15" style="14" customWidth="1"/>
    <col min="10483" max="10728" width="9" style="14"/>
    <col min="10729" max="10729" width="4.85546875" style="14" customWidth="1"/>
    <col min="10730" max="10730" width="11.140625" style="14" customWidth="1"/>
    <col min="10731" max="10731" width="25.140625" style="14" customWidth="1"/>
    <col min="10732" max="10732" width="13.5703125" style="14" customWidth="1"/>
    <col min="10733" max="10733" width="15.42578125" style="14" customWidth="1"/>
    <col min="10734" max="10734" width="20.85546875" style="14" customWidth="1"/>
    <col min="10735" max="10735" width="24.140625" style="14" customWidth="1"/>
    <col min="10736" max="10736" width="27.85546875" style="14" customWidth="1"/>
    <col min="10737" max="10737" width="12" style="14" customWidth="1"/>
    <col min="10738" max="10738" width="15" style="14" customWidth="1"/>
    <col min="10739" max="10984" width="9" style="14"/>
    <col min="10985" max="10985" width="4.85546875" style="14" customWidth="1"/>
    <col min="10986" max="10986" width="11.140625" style="14" customWidth="1"/>
    <col min="10987" max="10987" width="25.140625" style="14" customWidth="1"/>
    <col min="10988" max="10988" width="13.5703125" style="14" customWidth="1"/>
    <col min="10989" max="10989" width="15.42578125" style="14" customWidth="1"/>
    <col min="10990" max="10990" width="20.85546875" style="14" customWidth="1"/>
    <col min="10991" max="10991" width="24.140625" style="14" customWidth="1"/>
    <col min="10992" max="10992" width="27.85546875" style="14" customWidth="1"/>
    <col min="10993" max="10993" width="12" style="14" customWidth="1"/>
    <col min="10994" max="10994" width="15" style="14" customWidth="1"/>
    <col min="10995" max="11240" width="9" style="14"/>
    <col min="11241" max="11241" width="4.85546875" style="14" customWidth="1"/>
    <col min="11242" max="11242" width="11.140625" style="14" customWidth="1"/>
    <col min="11243" max="11243" width="25.140625" style="14" customWidth="1"/>
    <col min="11244" max="11244" width="13.5703125" style="14" customWidth="1"/>
    <col min="11245" max="11245" width="15.42578125" style="14" customWidth="1"/>
    <col min="11246" max="11246" width="20.85546875" style="14" customWidth="1"/>
    <col min="11247" max="11247" width="24.140625" style="14" customWidth="1"/>
    <col min="11248" max="11248" width="27.85546875" style="14" customWidth="1"/>
    <col min="11249" max="11249" width="12" style="14" customWidth="1"/>
    <col min="11250" max="11250" width="15" style="14" customWidth="1"/>
    <col min="11251" max="11496" width="9" style="14"/>
    <col min="11497" max="11497" width="4.85546875" style="14" customWidth="1"/>
    <col min="11498" max="11498" width="11.140625" style="14" customWidth="1"/>
    <col min="11499" max="11499" width="25.140625" style="14" customWidth="1"/>
    <col min="11500" max="11500" width="13.5703125" style="14" customWidth="1"/>
    <col min="11501" max="11501" width="15.42578125" style="14" customWidth="1"/>
    <col min="11502" max="11502" width="20.85546875" style="14" customWidth="1"/>
    <col min="11503" max="11503" width="24.140625" style="14" customWidth="1"/>
    <col min="11504" max="11504" width="27.85546875" style="14" customWidth="1"/>
    <col min="11505" max="11505" width="12" style="14" customWidth="1"/>
    <col min="11506" max="11506" width="15" style="14" customWidth="1"/>
    <col min="11507" max="11752" width="9" style="14"/>
    <col min="11753" max="11753" width="4.85546875" style="14" customWidth="1"/>
    <col min="11754" max="11754" width="11.140625" style="14" customWidth="1"/>
    <col min="11755" max="11755" width="25.140625" style="14" customWidth="1"/>
    <col min="11756" max="11756" width="13.5703125" style="14" customWidth="1"/>
    <col min="11757" max="11757" width="15.42578125" style="14" customWidth="1"/>
    <col min="11758" max="11758" width="20.85546875" style="14" customWidth="1"/>
    <col min="11759" max="11759" width="24.140625" style="14" customWidth="1"/>
    <col min="11760" max="11760" width="27.85546875" style="14" customWidth="1"/>
    <col min="11761" max="11761" width="12" style="14" customWidth="1"/>
    <col min="11762" max="11762" width="15" style="14" customWidth="1"/>
    <col min="11763" max="12008" width="9" style="14"/>
    <col min="12009" max="12009" width="4.85546875" style="14" customWidth="1"/>
    <col min="12010" max="12010" width="11.140625" style="14" customWidth="1"/>
    <col min="12011" max="12011" width="25.140625" style="14" customWidth="1"/>
    <col min="12012" max="12012" width="13.5703125" style="14" customWidth="1"/>
    <col min="12013" max="12013" width="15.42578125" style="14" customWidth="1"/>
    <col min="12014" max="12014" width="20.85546875" style="14" customWidth="1"/>
    <col min="12015" max="12015" width="24.140625" style="14" customWidth="1"/>
    <col min="12016" max="12016" width="27.85546875" style="14" customWidth="1"/>
    <col min="12017" max="12017" width="12" style="14" customWidth="1"/>
    <col min="12018" max="12018" width="15" style="14" customWidth="1"/>
    <col min="12019" max="12264" width="9" style="14"/>
    <col min="12265" max="12265" width="4.85546875" style="14" customWidth="1"/>
    <col min="12266" max="12266" width="11.140625" style="14" customWidth="1"/>
    <col min="12267" max="12267" width="25.140625" style="14" customWidth="1"/>
    <col min="12268" max="12268" width="13.5703125" style="14" customWidth="1"/>
    <col min="12269" max="12269" width="15.42578125" style="14" customWidth="1"/>
    <col min="12270" max="12270" width="20.85546875" style="14" customWidth="1"/>
    <col min="12271" max="12271" width="24.140625" style="14" customWidth="1"/>
    <col min="12272" max="12272" width="27.85546875" style="14" customWidth="1"/>
    <col min="12273" max="12273" width="12" style="14" customWidth="1"/>
    <col min="12274" max="12274" width="15" style="14" customWidth="1"/>
    <col min="12275" max="12520" width="9" style="14"/>
    <col min="12521" max="12521" width="4.85546875" style="14" customWidth="1"/>
    <col min="12522" max="12522" width="11.140625" style="14" customWidth="1"/>
    <col min="12523" max="12523" width="25.140625" style="14" customWidth="1"/>
    <col min="12524" max="12524" width="13.5703125" style="14" customWidth="1"/>
    <col min="12525" max="12525" width="15.42578125" style="14" customWidth="1"/>
    <col min="12526" max="12526" width="20.85546875" style="14" customWidth="1"/>
    <col min="12527" max="12527" width="24.140625" style="14" customWidth="1"/>
    <col min="12528" max="12528" width="27.85546875" style="14" customWidth="1"/>
    <col min="12529" max="12529" width="12" style="14" customWidth="1"/>
    <col min="12530" max="12530" width="15" style="14" customWidth="1"/>
    <col min="12531" max="12776" width="9" style="14"/>
    <col min="12777" max="12777" width="4.85546875" style="14" customWidth="1"/>
    <col min="12778" max="12778" width="11.140625" style="14" customWidth="1"/>
    <col min="12779" max="12779" width="25.140625" style="14" customWidth="1"/>
    <col min="12780" max="12780" width="13.5703125" style="14" customWidth="1"/>
    <col min="12781" max="12781" width="15.42578125" style="14" customWidth="1"/>
    <col min="12782" max="12782" width="20.85546875" style="14" customWidth="1"/>
    <col min="12783" max="12783" width="24.140625" style="14" customWidth="1"/>
    <col min="12784" max="12784" width="27.85546875" style="14" customWidth="1"/>
    <col min="12785" max="12785" width="12" style="14" customWidth="1"/>
    <col min="12786" max="12786" width="15" style="14" customWidth="1"/>
    <col min="12787" max="13032" width="9" style="14"/>
    <col min="13033" max="13033" width="4.85546875" style="14" customWidth="1"/>
    <col min="13034" max="13034" width="11.140625" style="14" customWidth="1"/>
    <col min="13035" max="13035" width="25.140625" style="14" customWidth="1"/>
    <col min="13036" max="13036" width="13.5703125" style="14" customWidth="1"/>
    <col min="13037" max="13037" width="15.42578125" style="14" customWidth="1"/>
    <col min="13038" max="13038" width="20.85546875" style="14" customWidth="1"/>
    <col min="13039" max="13039" width="24.140625" style="14" customWidth="1"/>
    <col min="13040" max="13040" width="27.85546875" style="14" customWidth="1"/>
    <col min="13041" max="13041" width="12" style="14" customWidth="1"/>
    <col min="13042" max="13042" width="15" style="14" customWidth="1"/>
    <col min="13043" max="13288" width="9" style="14"/>
    <col min="13289" max="13289" width="4.85546875" style="14" customWidth="1"/>
    <col min="13290" max="13290" width="11.140625" style="14" customWidth="1"/>
    <col min="13291" max="13291" width="25.140625" style="14" customWidth="1"/>
    <col min="13292" max="13292" width="13.5703125" style="14" customWidth="1"/>
    <col min="13293" max="13293" width="15.42578125" style="14" customWidth="1"/>
    <col min="13294" max="13294" width="20.85546875" style="14" customWidth="1"/>
    <col min="13295" max="13295" width="24.140625" style="14" customWidth="1"/>
    <col min="13296" max="13296" width="27.85546875" style="14" customWidth="1"/>
    <col min="13297" max="13297" width="12" style="14" customWidth="1"/>
    <col min="13298" max="13298" width="15" style="14" customWidth="1"/>
    <col min="13299" max="13544" width="9" style="14"/>
    <col min="13545" max="13545" width="4.85546875" style="14" customWidth="1"/>
    <col min="13546" max="13546" width="11.140625" style="14" customWidth="1"/>
    <col min="13547" max="13547" width="25.140625" style="14" customWidth="1"/>
    <col min="13548" max="13548" width="13.5703125" style="14" customWidth="1"/>
    <col min="13549" max="13549" width="15.42578125" style="14" customWidth="1"/>
    <col min="13550" max="13550" width="20.85546875" style="14" customWidth="1"/>
    <col min="13551" max="13551" width="24.140625" style="14" customWidth="1"/>
    <col min="13552" max="13552" width="27.85546875" style="14" customWidth="1"/>
    <col min="13553" max="13553" width="12" style="14" customWidth="1"/>
    <col min="13554" max="13554" width="15" style="14" customWidth="1"/>
    <col min="13555" max="13800" width="9" style="14"/>
    <col min="13801" max="13801" width="4.85546875" style="14" customWidth="1"/>
    <col min="13802" max="13802" width="11.140625" style="14" customWidth="1"/>
    <col min="13803" max="13803" width="25.140625" style="14" customWidth="1"/>
    <col min="13804" max="13804" width="13.5703125" style="14" customWidth="1"/>
    <col min="13805" max="13805" width="15.42578125" style="14" customWidth="1"/>
    <col min="13806" max="13806" width="20.85546875" style="14" customWidth="1"/>
    <col min="13807" max="13807" width="24.140625" style="14" customWidth="1"/>
    <col min="13808" max="13808" width="27.85546875" style="14" customWidth="1"/>
    <col min="13809" max="13809" width="12" style="14" customWidth="1"/>
    <col min="13810" max="13810" width="15" style="14" customWidth="1"/>
    <col min="13811" max="14056" width="9" style="14"/>
    <col min="14057" max="14057" width="4.85546875" style="14" customWidth="1"/>
    <col min="14058" max="14058" width="11.140625" style="14" customWidth="1"/>
    <col min="14059" max="14059" width="25.140625" style="14" customWidth="1"/>
    <col min="14060" max="14060" width="13.5703125" style="14" customWidth="1"/>
    <col min="14061" max="14061" width="15.42578125" style="14" customWidth="1"/>
    <col min="14062" max="14062" width="20.85546875" style="14" customWidth="1"/>
    <col min="14063" max="14063" width="24.140625" style="14" customWidth="1"/>
    <col min="14064" max="14064" width="27.85546875" style="14" customWidth="1"/>
    <col min="14065" max="14065" width="12" style="14" customWidth="1"/>
    <col min="14066" max="14066" width="15" style="14" customWidth="1"/>
    <col min="14067" max="14312" width="9" style="14"/>
    <col min="14313" max="14313" width="4.85546875" style="14" customWidth="1"/>
    <col min="14314" max="14314" width="11.140625" style="14" customWidth="1"/>
    <col min="14315" max="14315" width="25.140625" style="14" customWidth="1"/>
    <col min="14316" max="14316" width="13.5703125" style="14" customWidth="1"/>
    <col min="14317" max="14317" width="15.42578125" style="14" customWidth="1"/>
    <col min="14318" max="14318" width="20.85546875" style="14" customWidth="1"/>
    <col min="14319" max="14319" width="24.140625" style="14" customWidth="1"/>
    <col min="14320" max="14320" width="27.85546875" style="14" customWidth="1"/>
    <col min="14321" max="14321" width="12" style="14" customWidth="1"/>
    <col min="14322" max="14322" width="15" style="14" customWidth="1"/>
    <col min="14323" max="14568" width="9" style="14"/>
    <col min="14569" max="14569" width="4.85546875" style="14" customWidth="1"/>
    <col min="14570" max="14570" width="11.140625" style="14" customWidth="1"/>
    <col min="14571" max="14571" width="25.140625" style="14" customWidth="1"/>
    <col min="14572" max="14572" width="13.5703125" style="14" customWidth="1"/>
    <col min="14573" max="14573" width="15.42578125" style="14" customWidth="1"/>
    <col min="14574" max="14574" width="20.85546875" style="14" customWidth="1"/>
    <col min="14575" max="14575" width="24.140625" style="14" customWidth="1"/>
    <col min="14576" max="14576" width="27.85546875" style="14" customWidth="1"/>
    <col min="14577" max="14577" width="12" style="14" customWidth="1"/>
    <col min="14578" max="14578" width="15" style="14" customWidth="1"/>
    <col min="14579" max="14824" width="9" style="14"/>
    <col min="14825" max="14825" width="4.85546875" style="14" customWidth="1"/>
    <col min="14826" max="14826" width="11.140625" style="14" customWidth="1"/>
    <col min="14827" max="14827" width="25.140625" style="14" customWidth="1"/>
    <col min="14828" max="14828" width="13.5703125" style="14" customWidth="1"/>
    <col min="14829" max="14829" width="15.42578125" style="14" customWidth="1"/>
    <col min="14830" max="14830" width="20.85546875" style="14" customWidth="1"/>
    <col min="14831" max="14831" width="24.140625" style="14" customWidth="1"/>
    <col min="14832" max="14832" width="27.85546875" style="14" customWidth="1"/>
    <col min="14833" max="14833" width="12" style="14" customWidth="1"/>
    <col min="14834" max="14834" width="15" style="14" customWidth="1"/>
    <col min="14835" max="15080" width="9" style="14"/>
    <col min="15081" max="15081" width="4.85546875" style="14" customWidth="1"/>
    <col min="15082" max="15082" width="11.140625" style="14" customWidth="1"/>
    <col min="15083" max="15083" width="25.140625" style="14" customWidth="1"/>
    <col min="15084" max="15084" width="13.5703125" style="14" customWidth="1"/>
    <col min="15085" max="15085" width="15.42578125" style="14" customWidth="1"/>
    <col min="15086" max="15086" width="20.85546875" style="14" customWidth="1"/>
    <col min="15087" max="15087" width="24.140625" style="14" customWidth="1"/>
    <col min="15088" max="15088" width="27.85546875" style="14" customWidth="1"/>
    <col min="15089" max="15089" width="12" style="14" customWidth="1"/>
    <col min="15090" max="15090" width="15" style="14" customWidth="1"/>
    <col min="15091" max="15336" width="9" style="14"/>
    <col min="15337" max="15337" width="4.85546875" style="14" customWidth="1"/>
    <col min="15338" max="15338" width="11.140625" style="14" customWidth="1"/>
    <col min="15339" max="15339" width="25.140625" style="14" customWidth="1"/>
    <col min="15340" max="15340" width="13.5703125" style="14" customWidth="1"/>
    <col min="15341" max="15341" width="15.42578125" style="14" customWidth="1"/>
    <col min="15342" max="15342" width="20.85546875" style="14" customWidth="1"/>
    <col min="15343" max="15343" width="24.140625" style="14" customWidth="1"/>
    <col min="15344" max="15344" width="27.85546875" style="14" customWidth="1"/>
    <col min="15345" max="15345" width="12" style="14" customWidth="1"/>
    <col min="15346" max="15346" width="15" style="14" customWidth="1"/>
    <col min="15347" max="15592" width="9" style="14"/>
    <col min="15593" max="15593" width="4.85546875" style="14" customWidth="1"/>
    <col min="15594" max="15594" width="11.140625" style="14" customWidth="1"/>
    <col min="15595" max="15595" width="25.140625" style="14" customWidth="1"/>
    <col min="15596" max="15596" width="13.5703125" style="14" customWidth="1"/>
    <col min="15597" max="15597" width="15.42578125" style="14" customWidth="1"/>
    <col min="15598" max="15598" width="20.85546875" style="14" customWidth="1"/>
    <col min="15599" max="15599" width="24.140625" style="14" customWidth="1"/>
    <col min="15600" max="15600" width="27.85546875" style="14" customWidth="1"/>
    <col min="15601" max="15601" width="12" style="14" customWidth="1"/>
    <col min="15602" max="15602" width="15" style="14" customWidth="1"/>
    <col min="15603" max="15848" width="9" style="14"/>
    <col min="15849" max="15849" width="4.85546875" style="14" customWidth="1"/>
    <col min="15850" max="15850" width="11.140625" style="14" customWidth="1"/>
    <col min="15851" max="15851" width="25.140625" style="14" customWidth="1"/>
    <col min="15852" max="15852" width="13.5703125" style="14" customWidth="1"/>
    <col min="15853" max="15853" width="15.42578125" style="14" customWidth="1"/>
    <col min="15854" max="15854" width="20.85546875" style="14" customWidth="1"/>
    <col min="15855" max="15855" width="24.140625" style="14" customWidth="1"/>
    <col min="15856" max="15856" width="27.85546875" style="14" customWidth="1"/>
    <col min="15857" max="15857" width="12" style="14" customWidth="1"/>
    <col min="15858" max="15858" width="15" style="14" customWidth="1"/>
    <col min="15859" max="16104" width="9" style="14"/>
    <col min="16105" max="16105" width="4.85546875" style="14" customWidth="1"/>
    <col min="16106" max="16106" width="11.140625" style="14" customWidth="1"/>
    <col min="16107" max="16107" width="25.140625" style="14" customWidth="1"/>
    <col min="16108" max="16108" width="13.5703125" style="14" customWidth="1"/>
    <col min="16109" max="16109" width="15.42578125" style="14" customWidth="1"/>
    <col min="16110" max="16110" width="20.85546875" style="14" customWidth="1"/>
    <col min="16111" max="16111" width="24.140625" style="14" customWidth="1"/>
    <col min="16112" max="16112" width="27.85546875" style="14" customWidth="1"/>
    <col min="16113" max="16113" width="12" style="14" customWidth="1"/>
    <col min="16114" max="16114" width="15" style="14" customWidth="1"/>
    <col min="16115" max="16380" width="9" style="14"/>
    <col min="16381" max="16384" width="8.85546875" style="14" customWidth="1"/>
  </cols>
  <sheetData>
    <row r="1" spans="1:24" ht="42.95" customHeight="1">
      <c r="A1" s="16"/>
      <c r="B1" s="73"/>
      <c r="C1" s="17"/>
      <c r="D1" s="18"/>
      <c r="E1" s="136" t="s">
        <v>0</v>
      </c>
      <c r="F1" s="136"/>
      <c r="G1" s="136"/>
      <c r="H1" s="136"/>
      <c r="I1" s="136"/>
      <c r="J1" s="136"/>
      <c r="K1" s="136"/>
      <c r="L1" s="136"/>
      <c r="M1" s="53" t="s">
        <v>1</v>
      </c>
      <c r="N1" s="137"/>
      <c r="O1" s="137"/>
    </row>
    <row r="2" spans="1:24" ht="42.95" customHeight="1">
      <c r="A2" s="19"/>
      <c r="B2" s="74"/>
      <c r="C2" s="20"/>
      <c r="D2" s="21"/>
      <c r="E2" s="136"/>
      <c r="F2" s="136"/>
      <c r="G2" s="136"/>
      <c r="H2" s="136"/>
      <c r="I2" s="136"/>
      <c r="J2" s="136"/>
      <c r="K2" s="136"/>
      <c r="L2" s="136"/>
      <c r="M2" s="53" t="s">
        <v>2</v>
      </c>
      <c r="N2" s="138">
        <f ca="1">TODAY()</f>
        <v>46007</v>
      </c>
      <c r="O2" s="138"/>
    </row>
    <row r="3" spans="1:24" ht="12.75" customHeight="1">
      <c r="A3" s="22"/>
      <c r="B3" s="22"/>
      <c r="C3" s="23"/>
      <c r="D3" s="23"/>
      <c r="E3" s="23"/>
      <c r="F3" s="23"/>
      <c r="G3" s="24"/>
      <c r="H3" s="24"/>
      <c r="I3" s="24"/>
      <c r="J3" s="24"/>
    </row>
    <row r="4" spans="1:24" ht="33.75" customHeight="1">
      <c r="A4" s="139" t="s">
        <v>3</v>
      </c>
      <c r="B4" s="139"/>
      <c r="C4" s="139"/>
      <c r="D4" s="139"/>
      <c r="E4" s="139"/>
      <c r="F4" s="139"/>
      <c r="G4" s="139"/>
      <c r="H4" s="139"/>
      <c r="I4" s="139"/>
      <c r="J4" s="139"/>
      <c r="K4" s="139"/>
      <c r="L4" s="139"/>
      <c r="M4" s="139"/>
      <c r="N4" s="139"/>
      <c r="O4" s="139"/>
    </row>
    <row r="5" spans="1:24" ht="15.95" customHeight="1">
      <c r="A5" s="25"/>
      <c r="B5" s="25"/>
      <c r="C5" s="25"/>
      <c r="D5" s="25"/>
      <c r="E5" s="25"/>
      <c r="F5" s="25"/>
      <c r="G5" s="25"/>
      <c r="H5" s="26"/>
      <c r="I5" s="27"/>
      <c r="J5" s="27"/>
      <c r="K5" s="33"/>
      <c r="L5" s="33"/>
      <c r="M5" s="33"/>
      <c r="N5" s="33"/>
      <c r="O5" s="33"/>
    </row>
    <row r="6" spans="1:24" ht="31.15" customHeight="1">
      <c r="A6" s="28" t="s">
        <v>4</v>
      </c>
      <c r="B6" s="28"/>
      <c r="C6" s="29"/>
      <c r="D6" s="30"/>
      <c r="E6" s="31"/>
      <c r="F6" s="32" t="s">
        <v>5</v>
      </c>
      <c r="G6" s="33"/>
      <c r="H6" s="140"/>
      <c r="I6" s="140"/>
      <c r="J6" s="33"/>
      <c r="K6" s="33"/>
      <c r="L6" s="54" t="s">
        <v>6</v>
      </c>
      <c r="M6" s="141"/>
      <c r="N6" s="142"/>
      <c r="O6" s="33"/>
    </row>
    <row r="7" spans="1:24" ht="8.25" customHeight="1">
      <c r="A7" s="25"/>
      <c r="B7" s="25"/>
      <c r="C7" s="25"/>
      <c r="D7" s="25"/>
      <c r="E7" s="31"/>
      <c r="F7" s="25"/>
      <c r="G7" s="33"/>
      <c r="H7" s="25"/>
      <c r="I7" s="33"/>
      <c r="J7" s="33"/>
      <c r="K7" s="33"/>
      <c r="L7" s="25"/>
      <c r="M7" s="55"/>
      <c r="N7" s="55"/>
      <c r="O7" s="33"/>
    </row>
    <row r="8" spans="1:24" ht="31.15" customHeight="1">
      <c r="A8" s="34" t="s">
        <v>7</v>
      </c>
      <c r="B8" s="34"/>
      <c r="C8" s="35"/>
      <c r="D8" s="36"/>
      <c r="E8" s="31"/>
      <c r="F8" s="32" t="s">
        <v>8</v>
      </c>
      <c r="G8" s="33"/>
      <c r="H8" s="143"/>
      <c r="I8" s="143"/>
      <c r="J8" s="33"/>
      <c r="K8" s="33"/>
      <c r="L8" s="54" t="s">
        <v>9</v>
      </c>
      <c r="M8" s="144"/>
      <c r="N8" s="145"/>
      <c r="O8" s="33"/>
    </row>
    <row r="9" spans="1:24" ht="16.5">
      <c r="A9" s="25"/>
      <c r="B9" s="25"/>
      <c r="C9" s="25"/>
      <c r="D9" s="25"/>
      <c r="E9" s="31"/>
      <c r="F9" s="25"/>
      <c r="G9" s="33"/>
      <c r="H9" s="25"/>
      <c r="I9" s="33"/>
      <c r="J9" s="55"/>
      <c r="K9" s="33"/>
      <c r="L9" s="33"/>
      <c r="M9" s="33"/>
      <c r="N9" s="33"/>
      <c r="O9" s="33"/>
    </row>
    <row r="10" spans="1:24" ht="63.75" customHeight="1">
      <c r="A10" s="37" t="s">
        <v>10</v>
      </c>
      <c r="B10" s="37"/>
      <c r="C10" s="29"/>
      <c r="D10" s="38" t="s">
        <v>80</v>
      </c>
      <c r="E10" s="31"/>
      <c r="F10" s="32" t="s">
        <v>11</v>
      </c>
      <c r="G10" s="33"/>
      <c r="H10" s="146" t="s">
        <v>12</v>
      </c>
      <c r="I10" s="147"/>
      <c r="J10" s="56"/>
      <c r="K10" s="33"/>
      <c r="L10" s="54" t="s">
        <v>13</v>
      </c>
      <c r="M10" s="148" t="s">
        <v>147</v>
      </c>
      <c r="N10" s="149"/>
      <c r="O10" s="33"/>
      <c r="X10" s="14">
        <f>4</f>
        <v>4</v>
      </c>
    </row>
    <row r="11" spans="1:24" ht="9.75" customHeight="1">
      <c r="A11" s="39"/>
      <c r="B11" s="39"/>
      <c r="C11" s="40"/>
      <c r="D11" s="40"/>
      <c r="E11" s="40"/>
      <c r="F11" s="40"/>
      <c r="G11" s="40"/>
    </row>
    <row r="12" spans="1:24" s="12" customFormat="1" ht="54" customHeight="1">
      <c r="A12" s="41" t="s">
        <v>14</v>
      </c>
      <c r="B12" s="69" t="s">
        <v>73</v>
      </c>
      <c r="C12" s="121" t="s">
        <v>15</v>
      </c>
      <c r="D12" s="121"/>
      <c r="E12" s="121"/>
      <c r="F12" s="121"/>
      <c r="G12" s="42" t="s">
        <v>16</v>
      </c>
      <c r="H12" s="70" t="s">
        <v>17</v>
      </c>
      <c r="I12" s="70" t="s">
        <v>18</v>
      </c>
      <c r="J12" s="70" t="s">
        <v>19</v>
      </c>
      <c r="K12" s="70" t="s">
        <v>20</v>
      </c>
      <c r="L12" s="70" t="s">
        <v>21</v>
      </c>
      <c r="M12" s="122" t="s">
        <v>22</v>
      </c>
      <c r="N12" s="122"/>
      <c r="O12" s="57" t="s">
        <v>23</v>
      </c>
    </row>
    <row r="13" spans="1:24" s="12" customFormat="1" ht="35.450000000000003" hidden="1" customHeight="1">
      <c r="A13" s="43">
        <v>1</v>
      </c>
      <c r="B13" s="43"/>
      <c r="C13" s="123"/>
      <c r="D13" s="123"/>
      <c r="E13" s="123"/>
      <c r="F13" s="123"/>
      <c r="G13" s="44"/>
      <c r="H13" s="44"/>
      <c r="I13" s="44"/>
      <c r="J13" s="58"/>
      <c r="K13" s="44"/>
      <c r="L13" s="59"/>
      <c r="M13" s="124"/>
      <c r="N13" s="124"/>
      <c r="O13" s="60"/>
    </row>
    <row r="14" spans="1:24" s="12" customFormat="1" ht="35.450000000000003" hidden="1" customHeight="1">
      <c r="A14" s="43">
        <v>2</v>
      </c>
      <c r="B14" s="43"/>
      <c r="C14" s="123"/>
      <c r="D14" s="123"/>
      <c r="E14" s="123"/>
      <c r="F14" s="123"/>
      <c r="G14" s="44"/>
      <c r="H14" s="44"/>
      <c r="I14" s="44"/>
      <c r="J14" s="58"/>
      <c r="K14" s="44"/>
      <c r="L14" s="59"/>
      <c r="M14" s="124"/>
      <c r="N14" s="124"/>
      <c r="O14" s="60"/>
    </row>
    <row r="15" spans="1:24" s="12" customFormat="1" ht="35.450000000000003" hidden="1" customHeight="1">
      <c r="A15" s="43">
        <v>3</v>
      </c>
      <c r="B15" s="43"/>
      <c r="C15" s="123"/>
      <c r="D15" s="123"/>
      <c r="E15" s="123"/>
      <c r="F15" s="123"/>
      <c r="G15" s="44"/>
      <c r="H15" s="44"/>
      <c r="I15" s="44"/>
      <c r="J15" s="58"/>
      <c r="K15" s="44"/>
      <c r="L15" s="59"/>
      <c r="M15" s="124"/>
      <c r="N15" s="124"/>
      <c r="O15" s="60"/>
    </row>
    <row r="16" spans="1:24" s="12" customFormat="1" ht="35.450000000000003" hidden="1" customHeight="1">
      <c r="A16" s="43">
        <v>1</v>
      </c>
      <c r="B16" s="43"/>
      <c r="C16" s="123"/>
      <c r="D16" s="123"/>
      <c r="E16" s="123"/>
      <c r="F16" s="123"/>
      <c r="G16" s="44"/>
      <c r="H16" s="44"/>
      <c r="I16" s="44"/>
      <c r="J16" s="58"/>
      <c r="K16" s="44"/>
      <c r="L16" s="59"/>
      <c r="M16" s="124"/>
      <c r="N16" s="124"/>
      <c r="O16" s="60"/>
    </row>
    <row r="17" spans="1:23" s="12" customFormat="1" ht="35.450000000000003" hidden="1" customHeight="1">
      <c r="A17" s="43">
        <v>2</v>
      </c>
      <c r="B17" s="43"/>
      <c r="C17" s="123"/>
      <c r="D17" s="123"/>
      <c r="E17" s="123"/>
      <c r="F17" s="123"/>
      <c r="G17" s="44"/>
      <c r="H17" s="44"/>
      <c r="I17" s="44"/>
      <c r="J17" s="58"/>
      <c r="K17" s="44"/>
      <c r="L17" s="59"/>
      <c r="M17" s="124"/>
      <c r="N17" s="124"/>
      <c r="O17" s="60"/>
    </row>
    <row r="18" spans="1:23" s="12" customFormat="1" ht="35.450000000000003" hidden="1" customHeight="1">
      <c r="A18" s="43">
        <v>3</v>
      </c>
      <c r="B18" s="43"/>
      <c r="C18" s="128"/>
      <c r="D18" s="128"/>
      <c r="E18" s="128"/>
      <c r="F18" s="128"/>
      <c r="G18" s="44"/>
      <c r="H18" s="44"/>
      <c r="I18" s="44"/>
      <c r="J18" s="58"/>
      <c r="K18" s="44"/>
      <c r="L18" s="59"/>
      <c r="M18" s="124"/>
      <c r="N18" s="124"/>
      <c r="O18" s="60"/>
    </row>
    <row r="19" spans="1:23" s="12" customFormat="1" ht="35.450000000000003" customHeight="1">
      <c r="A19" s="43"/>
      <c r="B19" s="88"/>
      <c r="C19" s="125" t="s">
        <v>146</v>
      </c>
      <c r="D19" s="126"/>
      <c r="E19" s="126"/>
      <c r="F19" s="127"/>
      <c r="G19" s="89"/>
      <c r="H19" s="89"/>
      <c r="I19" s="89"/>
      <c r="J19" s="90" t="s">
        <v>84</v>
      </c>
      <c r="K19" s="89">
        <v>1</v>
      </c>
      <c r="L19" s="91"/>
      <c r="M19" s="151"/>
      <c r="N19" s="152"/>
      <c r="O19" s="92"/>
    </row>
    <row r="20" spans="1:23" s="12" customFormat="1" ht="35.450000000000003" customHeight="1">
      <c r="A20" s="43"/>
      <c r="B20" s="88"/>
      <c r="C20" s="125" t="s">
        <v>138</v>
      </c>
      <c r="D20" s="126"/>
      <c r="E20" s="126"/>
      <c r="F20" s="127"/>
      <c r="G20" s="89"/>
      <c r="H20" s="89"/>
      <c r="I20" s="89"/>
      <c r="J20" s="90" t="s">
        <v>84</v>
      </c>
      <c r="K20" s="89">
        <v>1</v>
      </c>
      <c r="L20" s="91"/>
      <c r="M20" s="101"/>
      <c r="N20" s="102"/>
      <c r="O20" s="92"/>
    </row>
    <row r="21" spans="1:23" s="12" customFormat="1" ht="35.450000000000003" customHeight="1">
      <c r="A21" s="43"/>
      <c r="B21" s="88"/>
      <c r="C21" s="130" t="s">
        <v>29</v>
      </c>
      <c r="D21" s="130"/>
      <c r="E21" s="130"/>
      <c r="F21" s="130"/>
      <c r="G21" s="93"/>
      <c r="H21" s="93"/>
      <c r="I21" s="93"/>
      <c r="J21" s="80" t="s">
        <v>24</v>
      </c>
      <c r="K21" s="81">
        <v>3</v>
      </c>
      <c r="L21" s="81" t="e">
        <f>#REF!+#REF!</f>
        <v>#REF!</v>
      </c>
      <c r="M21" s="129" t="s">
        <v>148</v>
      </c>
      <c r="N21" s="129"/>
      <c r="O21" s="129" t="s">
        <v>30</v>
      </c>
    </row>
    <row r="22" spans="1:23" s="12" customFormat="1" ht="35.450000000000003" customHeight="1">
      <c r="A22" s="43"/>
      <c r="B22" s="88"/>
      <c r="C22" s="130" t="s">
        <v>31</v>
      </c>
      <c r="D22" s="130"/>
      <c r="E22" s="130"/>
      <c r="F22" s="130"/>
      <c r="G22" s="93"/>
      <c r="H22" s="93"/>
      <c r="I22" s="93"/>
      <c r="J22" s="80" t="s">
        <v>24</v>
      </c>
      <c r="K22" s="81">
        <v>3</v>
      </c>
      <c r="L22" s="81" t="e">
        <f>#REF!+#REF!</f>
        <v>#REF!</v>
      </c>
      <c r="M22" s="131"/>
      <c r="N22" s="132"/>
      <c r="O22" s="129"/>
    </row>
    <row r="23" spans="1:23" s="12" customFormat="1" ht="35.450000000000003" customHeight="1">
      <c r="A23" s="43"/>
      <c r="B23" s="88"/>
      <c r="C23" s="150" t="s">
        <v>132</v>
      </c>
      <c r="D23" s="150"/>
      <c r="E23" s="150"/>
      <c r="F23" s="150"/>
      <c r="G23" s="93"/>
      <c r="H23" s="93"/>
      <c r="I23" s="93"/>
      <c r="J23" s="80" t="s">
        <v>34</v>
      </c>
      <c r="K23" s="81">
        <v>1</v>
      </c>
      <c r="L23" s="81"/>
      <c r="M23" s="129"/>
      <c r="N23" s="129"/>
      <c r="O23" s="92"/>
    </row>
    <row r="24" spans="1:23" s="12" customFormat="1" ht="35.450000000000003" customHeight="1">
      <c r="A24" s="43"/>
      <c r="B24" s="153" t="s">
        <v>166</v>
      </c>
      <c r="C24" s="154"/>
      <c r="D24" s="154"/>
      <c r="E24" s="154"/>
      <c r="F24" s="154"/>
      <c r="G24" s="154"/>
      <c r="H24" s="154"/>
      <c r="I24" s="154"/>
      <c r="J24" s="154"/>
      <c r="K24" s="154"/>
      <c r="L24" s="154"/>
      <c r="M24" s="154"/>
      <c r="N24" s="155"/>
      <c r="O24" s="108"/>
    </row>
    <row r="25" spans="1:23" s="12" customFormat="1" ht="35.450000000000003" customHeight="1">
      <c r="A25" s="46">
        <v>1</v>
      </c>
      <c r="B25" s="46"/>
      <c r="C25" s="117" t="s">
        <v>150</v>
      </c>
      <c r="D25" s="117"/>
      <c r="E25" s="117"/>
      <c r="F25" s="117"/>
      <c r="G25" s="45"/>
      <c r="H25" s="45"/>
      <c r="I25" s="45"/>
      <c r="J25" s="46" t="s">
        <v>24</v>
      </c>
      <c r="K25" s="62">
        <v>10</v>
      </c>
      <c r="L25" s="62" t="e">
        <f>#REF!+#REF!+#REF!+#REF!</f>
        <v>#REF!</v>
      </c>
      <c r="M25" s="135" t="s">
        <v>149</v>
      </c>
      <c r="N25" s="135"/>
      <c r="O25" s="118"/>
      <c r="W25" s="61">
        <v>11</v>
      </c>
    </row>
    <row r="26" spans="1:23" s="12" customFormat="1" ht="35.450000000000003" customHeight="1">
      <c r="A26" s="46">
        <v>2</v>
      </c>
      <c r="B26" s="46"/>
      <c r="C26" s="117" t="s">
        <v>25</v>
      </c>
      <c r="D26" s="117"/>
      <c r="E26" s="117"/>
      <c r="F26" s="117"/>
      <c r="G26" s="45"/>
      <c r="H26" s="45"/>
      <c r="I26" s="45"/>
      <c r="J26" s="46" t="s">
        <v>24</v>
      </c>
      <c r="K26" s="62">
        <v>14</v>
      </c>
      <c r="L26" s="62" t="e">
        <f>#REF!+#REF!+#REF!+#REF!</f>
        <v>#REF!</v>
      </c>
      <c r="M26" s="135" t="s">
        <v>151</v>
      </c>
      <c r="N26" s="135"/>
      <c r="O26" s="119"/>
      <c r="U26"/>
      <c r="W26" s="62">
        <v>24</v>
      </c>
    </row>
    <row r="27" spans="1:23" s="12" customFormat="1" ht="35.450000000000003" customHeight="1">
      <c r="A27" s="46">
        <v>3</v>
      </c>
      <c r="B27" s="46"/>
      <c r="C27" s="117" t="s">
        <v>26</v>
      </c>
      <c r="D27" s="117"/>
      <c r="E27" s="117"/>
      <c r="F27" s="117"/>
      <c r="G27" s="45"/>
      <c r="H27" s="45"/>
      <c r="I27" s="45"/>
      <c r="J27" s="46" t="s">
        <v>24</v>
      </c>
      <c r="K27" s="62">
        <v>21</v>
      </c>
      <c r="L27" s="62" t="e">
        <f>#REF!+#REF!</f>
        <v>#REF!</v>
      </c>
      <c r="M27" s="135" t="s">
        <v>151</v>
      </c>
      <c r="N27" s="135"/>
      <c r="O27" s="119"/>
      <c r="W27" s="62">
        <v>18</v>
      </c>
    </row>
    <row r="28" spans="1:23" s="12" customFormat="1" ht="35.450000000000003" customHeight="1">
      <c r="A28" s="46">
        <v>4</v>
      </c>
      <c r="B28" s="46"/>
      <c r="C28" s="117" t="s">
        <v>27</v>
      </c>
      <c r="D28" s="117"/>
      <c r="E28" s="117"/>
      <c r="F28" s="117"/>
      <c r="G28" s="45"/>
      <c r="H28" s="45"/>
      <c r="I28" s="45"/>
      <c r="J28" s="46" t="s">
        <v>24</v>
      </c>
      <c r="K28" s="62">
        <v>33</v>
      </c>
      <c r="L28" s="62" t="e">
        <f>#REF!+#REF!+#REF!+#REF!</f>
        <v>#REF!</v>
      </c>
      <c r="M28" s="135" t="s">
        <v>151</v>
      </c>
      <c r="N28" s="135"/>
      <c r="O28" s="119"/>
      <c r="W28" s="62">
        <v>28</v>
      </c>
    </row>
    <row r="29" spans="1:23" s="12" customFormat="1" ht="35.450000000000003" customHeight="1">
      <c r="A29" s="46">
        <v>5</v>
      </c>
      <c r="B29" s="46"/>
      <c r="C29" s="117" t="s">
        <v>152</v>
      </c>
      <c r="D29" s="117"/>
      <c r="E29" s="117"/>
      <c r="F29" s="117"/>
      <c r="G29" s="45"/>
      <c r="H29" s="45"/>
      <c r="I29" s="45"/>
      <c r="J29" s="46" t="s">
        <v>81</v>
      </c>
      <c r="K29" s="62">
        <v>16</v>
      </c>
      <c r="L29" s="62" t="e">
        <f>#REF!</f>
        <v>#REF!</v>
      </c>
      <c r="M29" s="135" t="s">
        <v>153</v>
      </c>
      <c r="N29" s="135"/>
      <c r="O29" s="119"/>
      <c r="W29" s="62">
        <v>3</v>
      </c>
    </row>
    <row r="30" spans="1:23" s="12" customFormat="1" ht="35.450000000000003" customHeight="1">
      <c r="A30" s="46">
        <v>6</v>
      </c>
      <c r="B30" s="46"/>
      <c r="C30" s="117" t="s">
        <v>28</v>
      </c>
      <c r="D30" s="117"/>
      <c r="E30" s="117"/>
      <c r="F30" s="117"/>
      <c r="G30" s="45"/>
      <c r="H30" s="45"/>
      <c r="I30" s="45"/>
      <c r="J30" s="46" t="s">
        <v>24</v>
      </c>
      <c r="K30" s="62">
        <v>6</v>
      </c>
      <c r="L30" s="62" t="e">
        <f>#REF!+#REF!</f>
        <v>#REF!</v>
      </c>
      <c r="M30" s="135" t="s">
        <v>151</v>
      </c>
      <c r="N30" s="135"/>
      <c r="O30" s="119"/>
      <c r="W30" s="62">
        <v>8</v>
      </c>
    </row>
    <row r="31" spans="1:23" s="12" customFormat="1" ht="33.75" customHeight="1">
      <c r="A31" s="46">
        <v>7</v>
      </c>
      <c r="B31" s="79"/>
      <c r="C31" s="156" t="s">
        <v>154</v>
      </c>
      <c r="D31" s="156"/>
      <c r="E31" s="156"/>
      <c r="F31" s="156"/>
      <c r="G31" s="45"/>
      <c r="H31" s="45"/>
      <c r="I31" s="45"/>
      <c r="J31" s="79" t="s">
        <v>36</v>
      </c>
      <c r="K31" s="62">
        <v>15</v>
      </c>
      <c r="L31" s="64" t="e">
        <f>(#REF!+#REF!+#REF!+#REF!)/6</f>
        <v>#REF!</v>
      </c>
      <c r="M31" s="135" t="s">
        <v>155</v>
      </c>
      <c r="N31" s="135"/>
      <c r="O31" s="119"/>
      <c r="W31" s="62">
        <v>1</v>
      </c>
    </row>
    <row r="32" spans="1:23" s="12" customFormat="1" ht="35.450000000000003" customHeight="1">
      <c r="A32" s="46">
        <v>8</v>
      </c>
      <c r="B32" s="79"/>
      <c r="C32" s="157" t="s">
        <v>157</v>
      </c>
      <c r="D32" s="158"/>
      <c r="E32" s="158"/>
      <c r="F32" s="159"/>
      <c r="G32" s="45"/>
      <c r="H32" s="45"/>
      <c r="I32" s="45"/>
      <c r="J32" s="79" t="s">
        <v>24</v>
      </c>
      <c r="K32" s="62">
        <v>1</v>
      </c>
      <c r="L32" s="62"/>
      <c r="M32" s="135" t="s">
        <v>156</v>
      </c>
      <c r="N32" s="135"/>
      <c r="O32" s="119"/>
      <c r="W32" s="62">
        <v>3</v>
      </c>
    </row>
    <row r="33" spans="1:23" s="12" customFormat="1" ht="35.450000000000003" customHeight="1">
      <c r="A33" s="46">
        <v>9</v>
      </c>
      <c r="B33" s="79" t="s">
        <v>76</v>
      </c>
      <c r="C33" s="157" t="s">
        <v>33</v>
      </c>
      <c r="D33" s="158"/>
      <c r="E33" s="158"/>
      <c r="F33" s="159"/>
      <c r="G33" s="45"/>
      <c r="H33" s="45"/>
      <c r="I33" s="45"/>
      <c r="J33" s="79" t="s">
        <v>24</v>
      </c>
      <c r="K33" s="62">
        <v>1</v>
      </c>
      <c r="L33" s="62"/>
      <c r="M33" s="183" t="s">
        <v>130</v>
      </c>
      <c r="N33" s="164"/>
      <c r="O33" s="119"/>
      <c r="S33"/>
      <c r="W33" s="62">
        <v>3</v>
      </c>
    </row>
    <row r="34" spans="1:23" s="12" customFormat="1" ht="36" customHeight="1">
      <c r="A34" s="46">
        <v>10</v>
      </c>
      <c r="B34" s="79" t="s">
        <v>79</v>
      </c>
      <c r="C34" s="117" t="s">
        <v>39</v>
      </c>
      <c r="D34" s="117"/>
      <c r="E34" s="117"/>
      <c r="F34" s="117"/>
      <c r="G34" s="75"/>
      <c r="H34" s="75"/>
      <c r="I34" s="75"/>
      <c r="J34" s="79" t="s">
        <v>24</v>
      </c>
      <c r="K34" s="62">
        <v>1</v>
      </c>
      <c r="L34" s="62"/>
      <c r="M34" s="135" t="s">
        <v>85</v>
      </c>
      <c r="N34" s="135"/>
      <c r="O34" s="119"/>
      <c r="W34" s="62">
        <v>5</v>
      </c>
    </row>
    <row r="35" spans="1:23" s="12" customFormat="1" ht="35.450000000000003" customHeight="1">
      <c r="A35" s="46">
        <v>11</v>
      </c>
      <c r="B35" s="79"/>
      <c r="C35" s="157" t="s">
        <v>143</v>
      </c>
      <c r="D35" s="158"/>
      <c r="E35" s="158"/>
      <c r="F35" s="159"/>
      <c r="G35" s="79"/>
      <c r="H35" s="79"/>
      <c r="I35" s="79"/>
      <c r="J35" s="79" t="s">
        <v>32</v>
      </c>
      <c r="K35" s="62">
        <v>1</v>
      </c>
      <c r="L35" s="64"/>
      <c r="M35" s="163" t="s">
        <v>133</v>
      </c>
      <c r="N35" s="164"/>
      <c r="O35" s="119"/>
      <c r="W35" s="64">
        <v>1</v>
      </c>
    </row>
    <row r="36" spans="1:23" s="12" customFormat="1" ht="35.450000000000003" customHeight="1">
      <c r="A36" s="46">
        <v>12</v>
      </c>
      <c r="B36" s="79" t="s">
        <v>77</v>
      </c>
      <c r="C36" s="157" t="s">
        <v>144</v>
      </c>
      <c r="D36" s="158"/>
      <c r="E36" s="158"/>
      <c r="F36" s="159"/>
      <c r="G36" s="45"/>
      <c r="H36" s="45"/>
      <c r="I36" s="45"/>
      <c r="J36" s="79" t="s">
        <v>34</v>
      </c>
      <c r="K36" s="62">
        <v>1</v>
      </c>
      <c r="L36" s="64"/>
      <c r="M36" s="135" t="s">
        <v>134</v>
      </c>
      <c r="N36" s="135"/>
      <c r="O36" s="119"/>
      <c r="W36" s="64">
        <v>5</v>
      </c>
    </row>
    <row r="37" spans="1:23" s="12" customFormat="1" ht="35.450000000000003" customHeight="1">
      <c r="A37" s="46"/>
      <c r="B37" s="79" t="s">
        <v>75</v>
      </c>
      <c r="C37" s="156" t="s">
        <v>86</v>
      </c>
      <c r="D37" s="156"/>
      <c r="E37" s="156"/>
      <c r="F37" s="156"/>
      <c r="G37" s="45"/>
      <c r="H37" s="45"/>
      <c r="I37" s="45"/>
      <c r="J37" s="79" t="s">
        <v>24</v>
      </c>
      <c r="K37" s="62">
        <v>12</v>
      </c>
      <c r="L37" s="62" t="e">
        <f>#REF!</f>
        <v>#REF!</v>
      </c>
      <c r="M37" s="135" t="s">
        <v>131</v>
      </c>
      <c r="N37" s="135"/>
      <c r="O37" s="119"/>
      <c r="W37" s="62">
        <v>1</v>
      </c>
    </row>
    <row r="38" spans="1:23" s="12" customFormat="1" ht="42" customHeight="1">
      <c r="A38" s="46"/>
      <c r="B38" s="79" t="s">
        <v>140</v>
      </c>
      <c r="C38" s="157" t="s">
        <v>141</v>
      </c>
      <c r="D38" s="158"/>
      <c r="E38" s="158"/>
      <c r="F38" s="159"/>
      <c r="G38" s="45"/>
      <c r="H38" s="45"/>
      <c r="I38" s="45"/>
      <c r="J38" s="79" t="s">
        <v>36</v>
      </c>
      <c r="K38" s="62">
        <v>15</v>
      </c>
      <c r="L38" s="62" t="e">
        <f>#REF!</f>
        <v>#REF!</v>
      </c>
      <c r="M38" s="163" t="s">
        <v>142</v>
      </c>
      <c r="N38" s="164"/>
      <c r="O38" s="119"/>
      <c r="W38" s="62">
        <v>2</v>
      </c>
    </row>
    <row r="39" spans="1:23" s="12" customFormat="1" ht="35.450000000000003" customHeight="1">
      <c r="A39" s="115"/>
      <c r="B39" s="110"/>
      <c r="C39" s="166" t="s">
        <v>145</v>
      </c>
      <c r="D39" s="167"/>
      <c r="E39" s="167"/>
      <c r="F39" s="168"/>
      <c r="G39" s="45"/>
      <c r="H39" s="45"/>
      <c r="I39" s="45"/>
      <c r="J39" s="110" t="s">
        <v>24</v>
      </c>
      <c r="K39" s="62">
        <v>2</v>
      </c>
      <c r="L39" s="62"/>
      <c r="M39" s="111"/>
      <c r="N39" s="112"/>
      <c r="O39" s="119"/>
      <c r="W39" s="62"/>
    </row>
    <row r="40" spans="1:23" s="12" customFormat="1" ht="35.450000000000003" customHeight="1">
      <c r="A40" s="115"/>
      <c r="B40" s="46"/>
      <c r="C40" s="157" t="s">
        <v>158</v>
      </c>
      <c r="D40" s="158"/>
      <c r="E40" s="158"/>
      <c r="F40" s="159"/>
      <c r="G40" s="45"/>
      <c r="H40" s="45"/>
      <c r="I40" s="45"/>
      <c r="J40" s="46" t="s">
        <v>35</v>
      </c>
      <c r="K40" s="62">
        <v>2</v>
      </c>
      <c r="L40" s="62"/>
      <c r="M40" s="163"/>
      <c r="N40" s="164"/>
      <c r="O40" s="119"/>
      <c r="W40" s="62">
        <v>2</v>
      </c>
    </row>
    <row r="41" spans="1:23" s="12" customFormat="1" ht="35.450000000000003" customHeight="1">
      <c r="A41" s="115"/>
      <c r="B41" s="106"/>
      <c r="C41" s="157" t="s">
        <v>159</v>
      </c>
      <c r="D41" s="158"/>
      <c r="E41" s="158"/>
      <c r="F41" s="159"/>
      <c r="G41" s="79"/>
      <c r="H41" s="79"/>
      <c r="I41" s="79"/>
      <c r="J41" s="79" t="s">
        <v>24</v>
      </c>
      <c r="K41" s="62">
        <v>8</v>
      </c>
      <c r="L41" s="62"/>
      <c r="M41" s="135"/>
      <c r="N41" s="135"/>
      <c r="O41" s="119"/>
      <c r="W41" s="62">
        <v>35</v>
      </c>
    </row>
    <row r="42" spans="1:23" s="12" customFormat="1" ht="35.450000000000003" customHeight="1">
      <c r="A42" s="116"/>
      <c r="B42" s="106"/>
      <c r="C42" s="160" t="s">
        <v>160</v>
      </c>
      <c r="D42" s="161"/>
      <c r="E42" s="161"/>
      <c r="F42" s="162"/>
      <c r="G42" s="116"/>
      <c r="H42" s="116"/>
      <c r="I42" s="116"/>
      <c r="J42" s="116" t="s">
        <v>24</v>
      </c>
      <c r="K42" s="62">
        <v>8</v>
      </c>
      <c r="L42" s="62"/>
      <c r="M42" s="163"/>
      <c r="N42" s="164"/>
      <c r="O42" s="119"/>
      <c r="W42" s="62"/>
    </row>
    <row r="43" spans="1:23" s="12" customFormat="1" ht="35.450000000000003" customHeight="1">
      <c r="A43" s="115"/>
      <c r="B43" s="79" t="s">
        <v>83</v>
      </c>
      <c r="C43" s="117" t="s">
        <v>82</v>
      </c>
      <c r="D43" s="117"/>
      <c r="E43" s="117"/>
      <c r="F43" s="117"/>
      <c r="G43" s="45"/>
      <c r="H43" s="45"/>
      <c r="I43" s="45"/>
      <c r="J43" s="79" t="s">
        <v>41</v>
      </c>
      <c r="K43" s="62">
        <v>10</v>
      </c>
      <c r="L43" s="62" t="e">
        <f>#REF!</f>
        <v>#REF!</v>
      </c>
      <c r="M43" s="163"/>
      <c r="N43" s="164"/>
      <c r="O43" s="119"/>
      <c r="W43" s="62">
        <v>1</v>
      </c>
    </row>
    <row r="44" spans="1:23" s="12" customFormat="1" ht="35.450000000000003" customHeight="1">
      <c r="A44" s="115"/>
      <c r="B44" s="107" t="s">
        <v>74</v>
      </c>
      <c r="C44" s="165" t="s">
        <v>40</v>
      </c>
      <c r="D44" s="165"/>
      <c r="E44" s="165"/>
      <c r="F44" s="165"/>
      <c r="G44" s="48"/>
      <c r="H44" s="48"/>
      <c r="I44" s="48"/>
      <c r="J44" s="47" t="s">
        <v>41</v>
      </c>
      <c r="K44" s="66">
        <v>50</v>
      </c>
      <c r="L44" s="62"/>
      <c r="M44" s="163"/>
      <c r="N44" s="164"/>
      <c r="O44" s="119"/>
      <c r="W44" s="62">
        <v>1</v>
      </c>
    </row>
    <row r="45" spans="1:23" s="12" customFormat="1" ht="35.450000000000003" customHeight="1">
      <c r="A45" s="115"/>
      <c r="B45" s="79" t="s">
        <v>78</v>
      </c>
      <c r="C45" s="157" t="s">
        <v>37</v>
      </c>
      <c r="D45" s="158"/>
      <c r="E45" s="158"/>
      <c r="F45" s="159"/>
      <c r="G45" s="79"/>
      <c r="H45" s="79"/>
      <c r="I45" s="79"/>
      <c r="J45" s="79" t="s">
        <v>38</v>
      </c>
      <c r="K45" s="62">
        <v>1</v>
      </c>
      <c r="L45" s="62"/>
      <c r="M45" s="163"/>
      <c r="N45" s="164"/>
      <c r="O45" s="119"/>
      <c r="W45" s="62">
        <v>1</v>
      </c>
    </row>
    <row r="46" spans="1:23" s="12" customFormat="1" ht="35.450000000000003" customHeight="1">
      <c r="A46" s="115"/>
      <c r="B46" s="82" t="s">
        <v>87</v>
      </c>
      <c r="C46" s="133" t="s">
        <v>88</v>
      </c>
      <c r="D46" s="133"/>
      <c r="E46" s="133"/>
      <c r="F46" s="134"/>
      <c r="G46" s="83"/>
      <c r="H46" s="83"/>
      <c r="I46" s="83"/>
      <c r="J46" s="82" t="s">
        <v>36</v>
      </c>
      <c r="K46" s="84">
        <v>10</v>
      </c>
      <c r="L46" s="62"/>
      <c r="M46" s="77"/>
      <c r="N46" s="78"/>
      <c r="O46" s="119"/>
      <c r="W46" s="62"/>
    </row>
    <row r="47" spans="1:23" s="12" customFormat="1" ht="35.450000000000003" customHeight="1">
      <c r="A47" s="115"/>
      <c r="B47" s="82" t="s">
        <v>89</v>
      </c>
      <c r="C47" s="133" t="s">
        <v>90</v>
      </c>
      <c r="D47" s="133"/>
      <c r="E47" s="133"/>
      <c r="F47" s="134"/>
      <c r="G47" s="83"/>
      <c r="H47" s="83"/>
      <c r="I47" s="83"/>
      <c r="J47" s="82" t="s">
        <v>24</v>
      </c>
      <c r="K47" s="84">
        <v>4</v>
      </c>
      <c r="L47" s="62"/>
      <c r="M47" s="77"/>
      <c r="N47" s="78"/>
      <c r="O47" s="119"/>
      <c r="W47" s="62"/>
    </row>
    <row r="48" spans="1:23" s="12" customFormat="1" ht="35.450000000000003" customHeight="1">
      <c r="A48" s="115"/>
      <c r="B48" s="82" t="s">
        <v>91</v>
      </c>
      <c r="C48" s="133" t="s">
        <v>92</v>
      </c>
      <c r="D48" s="133"/>
      <c r="E48" s="133"/>
      <c r="F48" s="134"/>
      <c r="G48" s="83"/>
      <c r="H48" s="83"/>
      <c r="I48" s="83"/>
      <c r="J48" s="82" t="s">
        <v>24</v>
      </c>
      <c r="K48" s="84">
        <v>4</v>
      </c>
      <c r="L48" s="62"/>
      <c r="M48" s="77"/>
      <c r="N48" s="78"/>
      <c r="O48" s="119"/>
      <c r="W48" s="62"/>
    </row>
    <row r="49" spans="1:23" s="12" customFormat="1" ht="35.450000000000003" customHeight="1">
      <c r="A49" s="115"/>
      <c r="B49" s="82" t="s">
        <v>93</v>
      </c>
      <c r="C49" s="133" t="s">
        <v>94</v>
      </c>
      <c r="D49" s="133"/>
      <c r="E49" s="133"/>
      <c r="F49" s="134"/>
      <c r="G49" s="83"/>
      <c r="H49" s="83"/>
      <c r="I49" s="83"/>
      <c r="J49" s="82" t="s">
        <v>24</v>
      </c>
      <c r="K49" s="84">
        <v>4</v>
      </c>
      <c r="L49" s="62"/>
      <c r="M49" s="77"/>
      <c r="N49" s="78"/>
      <c r="O49" s="119"/>
      <c r="W49" s="62"/>
    </row>
    <row r="50" spans="1:23" s="12" customFormat="1" ht="35.450000000000003" customHeight="1">
      <c r="A50" s="115"/>
      <c r="B50" s="82" t="s">
        <v>95</v>
      </c>
      <c r="C50" s="133" t="s">
        <v>96</v>
      </c>
      <c r="D50" s="133"/>
      <c r="E50" s="133"/>
      <c r="F50" s="134"/>
      <c r="G50" s="83"/>
      <c r="H50" s="83"/>
      <c r="I50" s="83"/>
      <c r="J50" s="82" t="s">
        <v>24</v>
      </c>
      <c r="K50" s="84">
        <v>4</v>
      </c>
      <c r="L50" s="62"/>
      <c r="M50" s="77"/>
      <c r="N50" s="78"/>
      <c r="O50" s="119"/>
      <c r="W50" s="62"/>
    </row>
    <row r="51" spans="1:23" s="12" customFormat="1" ht="35.450000000000003" customHeight="1">
      <c r="A51" s="115"/>
      <c r="B51" s="82" t="s">
        <v>97</v>
      </c>
      <c r="C51" s="133" t="s">
        <v>98</v>
      </c>
      <c r="D51" s="133"/>
      <c r="E51" s="133"/>
      <c r="F51" s="134"/>
      <c r="G51" s="83"/>
      <c r="H51" s="83"/>
      <c r="I51" s="83"/>
      <c r="J51" s="82" t="s">
        <v>24</v>
      </c>
      <c r="K51" s="84">
        <v>4</v>
      </c>
      <c r="L51" s="62"/>
      <c r="M51" s="77"/>
      <c r="N51" s="78"/>
      <c r="O51" s="119"/>
      <c r="W51" s="62"/>
    </row>
    <row r="52" spans="1:23" s="12" customFormat="1" ht="35.450000000000003" customHeight="1">
      <c r="A52" s="115"/>
      <c r="B52" s="82" t="s">
        <v>99</v>
      </c>
      <c r="C52" s="133" t="s">
        <v>100</v>
      </c>
      <c r="D52" s="133"/>
      <c r="E52" s="133"/>
      <c r="F52" s="134"/>
      <c r="G52" s="83"/>
      <c r="H52" s="83"/>
      <c r="I52" s="83"/>
      <c r="J52" s="82" t="s">
        <v>24</v>
      </c>
      <c r="K52" s="84">
        <v>8</v>
      </c>
      <c r="L52" s="62"/>
      <c r="M52" s="77"/>
      <c r="N52" s="78"/>
      <c r="O52" s="119"/>
      <c r="W52" s="62"/>
    </row>
    <row r="53" spans="1:23" s="12" customFormat="1" ht="35.450000000000003" customHeight="1">
      <c r="A53" s="115"/>
      <c r="B53" s="82" t="s">
        <v>101</v>
      </c>
      <c r="C53" s="133" t="s">
        <v>102</v>
      </c>
      <c r="D53" s="133"/>
      <c r="E53" s="133"/>
      <c r="F53" s="134"/>
      <c r="G53" s="83"/>
      <c r="H53" s="83"/>
      <c r="I53" s="83"/>
      <c r="J53" s="82" t="s">
        <v>34</v>
      </c>
      <c r="K53" s="84">
        <v>10</v>
      </c>
      <c r="L53" s="62"/>
      <c r="M53" s="163"/>
      <c r="N53" s="164"/>
      <c r="O53" s="119"/>
      <c r="W53" s="62">
        <v>1</v>
      </c>
    </row>
    <row r="54" spans="1:23" s="12" customFormat="1" ht="35.450000000000003" customHeight="1">
      <c r="A54" s="115"/>
      <c r="B54" s="82" t="s">
        <v>103</v>
      </c>
      <c r="C54" s="133" t="s">
        <v>104</v>
      </c>
      <c r="D54" s="133"/>
      <c r="E54" s="133"/>
      <c r="F54" s="134"/>
      <c r="G54" s="83"/>
      <c r="H54" s="83"/>
      <c r="I54" s="83"/>
      <c r="J54" s="82" t="s">
        <v>105</v>
      </c>
      <c r="K54" s="84">
        <v>1</v>
      </c>
      <c r="L54" s="62"/>
      <c r="M54" s="77"/>
      <c r="N54" s="78"/>
      <c r="O54" s="119"/>
      <c r="W54" s="62"/>
    </row>
    <row r="55" spans="1:23" s="12" customFormat="1" ht="35.450000000000003" customHeight="1">
      <c r="A55" s="115"/>
      <c r="B55" s="82" t="s">
        <v>106</v>
      </c>
      <c r="C55" s="169" t="s">
        <v>107</v>
      </c>
      <c r="D55" s="170"/>
      <c r="E55" s="170"/>
      <c r="F55" s="171"/>
      <c r="G55" s="85"/>
      <c r="H55" s="85"/>
      <c r="I55" s="85"/>
      <c r="J55" s="86" t="s">
        <v>24</v>
      </c>
      <c r="K55" s="87">
        <v>3</v>
      </c>
      <c r="L55" s="62"/>
      <c r="M55" s="77"/>
      <c r="N55" s="78"/>
      <c r="O55" s="119"/>
      <c r="W55" s="62"/>
    </row>
    <row r="56" spans="1:23" s="12" customFormat="1" ht="35.450000000000003" customHeight="1">
      <c r="A56" s="115"/>
      <c r="B56" s="82" t="s">
        <v>108</v>
      </c>
      <c r="C56" s="169" t="s">
        <v>109</v>
      </c>
      <c r="D56" s="170"/>
      <c r="E56" s="170"/>
      <c r="F56" s="171"/>
      <c r="G56" s="85"/>
      <c r="H56" s="85"/>
      <c r="I56" s="85"/>
      <c r="J56" s="86" t="s">
        <v>110</v>
      </c>
      <c r="K56" s="87">
        <v>20</v>
      </c>
      <c r="L56" s="62"/>
      <c r="M56" s="77"/>
      <c r="N56" s="78"/>
      <c r="O56" s="119"/>
      <c r="W56" s="62"/>
    </row>
    <row r="57" spans="1:23" s="12" customFormat="1" ht="35.450000000000003" customHeight="1">
      <c r="A57" s="115"/>
      <c r="B57" s="82" t="s">
        <v>111</v>
      </c>
      <c r="C57" s="169" t="s">
        <v>112</v>
      </c>
      <c r="D57" s="170"/>
      <c r="E57" s="170"/>
      <c r="F57" s="171"/>
      <c r="G57" s="85"/>
      <c r="H57" s="85"/>
      <c r="I57" s="85"/>
      <c r="J57" s="86" t="s">
        <v>113</v>
      </c>
      <c r="K57" s="87">
        <v>2</v>
      </c>
      <c r="L57" s="62"/>
      <c r="M57" s="77"/>
      <c r="N57" s="78"/>
      <c r="O57" s="119"/>
      <c r="W57" s="62"/>
    </row>
    <row r="58" spans="1:23" s="12" customFormat="1" ht="35.450000000000003" customHeight="1">
      <c r="A58" s="115"/>
      <c r="B58" s="82"/>
      <c r="C58" s="172" t="s">
        <v>161</v>
      </c>
      <c r="D58" s="170"/>
      <c r="E58" s="170"/>
      <c r="F58" s="171"/>
      <c r="G58" s="85"/>
      <c r="H58" s="85"/>
      <c r="I58" s="85"/>
      <c r="J58" s="103" t="s">
        <v>34</v>
      </c>
      <c r="K58" s="87">
        <v>1</v>
      </c>
      <c r="L58" s="62"/>
      <c r="M58" s="163" t="s">
        <v>162</v>
      </c>
      <c r="N58" s="164"/>
      <c r="O58" s="119"/>
      <c r="W58" s="62"/>
    </row>
    <row r="59" spans="1:23" s="12" customFormat="1" ht="35.450000000000003" customHeight="1">
      <c r="A59" s="115"/>
      <c r="B59" s="82" t="s">
        <v>114</v>
      </c>
      <c r="C59" s="169" t="s">
        <v>115</v>
      </c>
      <c r="D59" s="170"/>
      <c r="E59" s="170"/>
      <c r="F59" s="171"/>
      <c r="G59" s="85"/>
      <c r="H59" s="85"/>
      <c r="I59" s="85"/>
      <c r="J59" s="86" t="s">
        <v>116</v>
      </c>
      <c r="K59" s="87">
        <v>2</v>
      </c>
      <c r="L59" s="62"/>
      <c r="M59" s="77"/>
      <c r="N59" s="78"/>
      <c r="O59" s="119"/>
      <c r="W59" s="62"/>
    </row>
    <row r="60" spans="1:23" s="12" customFormat="1" ht="35.450000000000003" customHeight="1">
      <c r="A60" s="115"/>
      <c r="B60" s="82"/>
      <c r="C60" s="172" t="s">
        <v>135</v>
      </c>
      <c r="D60" s="170"/>
      <c r="E60" s="170"/>
      <c r="F60" s="171"/>
      <c r="G60" s="85"/>
      <c r="H60" s="85"/>
      <c r="I60" s="85"/>
      <c r="J60" s="103" t="s">
        <v>105</v>
      </c>
      <c r="K60" s="87">
        <v>1</v>
      </c>
      <c r="L60" s="62"/>
      <c r="M60" s="104"/>
      <c r="N60" s="105"/>
      <c r="O60" s="119"/>
      <c r="W60" s="62"/>
    </row>
    <row r="61" spans="1:23" s="12" customFormat="1" ht="35.450000000000003" customHeight="1">
      <c r="A61" s="115"/>
      <c r="B61" s="82"/>
      <c r="C61" s="169" t="s">
        <v>117</v>
      </c>
      <c r="D61" s="170"/>
      <c r="E61" s="170"/>
      <c r="F61" s="171"/>
      <c r="G61" s="85"/>
      <c r="H61" s="85"/>
      <c r="I61" s="85"/>
      <c r="J61" s="86" t="s">
        <v>118</v>
      </c>
      <c r="K61" s="87">
        <v>10</v>
      </c>
      <c r="L61" s="62"/>
      <c r="M61" s="77"/>
      <c r="N61" s="78"/>
      <c r="O61" s="119"/>
      <c r="W61" s="62"/>
    </row>
    <row r="62" spans="1:23" s="12" customFormat="1" ht="35.450000000000003" customHeight="1">
      <c r="A62" s="115"/>
      <c r="B62" s="82"/>
      <c r="C62" s="169" t="s">
        <v>119</v>
      </c>
      <c r="D62" s="170"/>
      <c r="E62" s="170"/>
      <c r="F62" s="171"/>
      <c r="G62" s="85"/>
      <c r="H62" s="85"/>
      <c r="I62" s="85"/>
      <c r="J62" s="86" t="s">
        <v>120</v>
      </c>
      <c r="K62" s="87">
        <v>3</v>
      </c>
      <c r="L62" s="62"/>
      <c r="M62" s="77"/>
      <c r="N62" s="78"/>
      <c r="O62" s="119"/>
      <c r="W62" s="62"/>
    </row>
    <row r="63" spans="1:23" s="12" customFormat="1" ht="35.450000000000003" customHeight="1">
      <c r="A63" s="115"/>
      <c r="B63" s="79"/>
      <c r="C63" s="179" t="s">
        <v>121</v>
      </c>
      <c r="D63" s="180"/>
      <c r="E63" s="180"/>
      <c r="F63" s="181"/>
      <c r="G63" s="79"/>
      <c r="H63" s="79"/>
      <c r="I63" s="79"/>
      <c r="J63" s="79" t="s">
        <v>120</v>
      </c>
      <c r="K63" s="62">
        <v>2</v>
      </c>
      <c r="L63" s="62"/>
      <c r="M63" s="77"/>
      <c r="N63" s="78"/>
      <c r="O63" s="119"/>
      <c r="W63" s="62"/>
    </row>
    <row r="64" spans="1:23" s="12" customFormat="1" ht="35.450000000000003" customHeight="1">
      <c r="A64" s="79"/>
      <c r="B64" s="175" t="s">
        <v>128</v>
      </c>
      <c r="C64" s="176"/>
      <c r="D64" s="176"/>
      <c r="E64" s="176"/>
      <c r="F64" s="176"/>
      <c r="G64" s="176"/>
      <c r="H64" s="176"/>
      <c r="I64" s="176"/>
      <c r="J64" s="176"/>
      <c r="K64" s="176"/>
      <c r="L64" s="176"/>
      <c r="M64" s="176"/>
      <c r="N64" s="177"/>
      <c r="O64" s="120"/>
      <c r="W64" s="62"/>
    </row>
    <row r="65" spans="1:23" s="12" customFormat="1" ht="35.450000000000003" customHeight="1">
      <c r="A65" s="79"/>
      <c r="B65" s="86" t="s">
        <v>122</v>
      </c>
      <c r="C65" s="173" t="s">
        <v>123</v>
      </c>
      <c r="D65" s="173"/>
      <c r="E65" s="173"/>
      <c r="F65" s="174"/>
      <c r="G65" s="109"/>
      <c r="H65" s="109"/>
      <c r="I65" s="109"/>
      <c r="J65" s="109" t="s">
        <v>34</v>
      </c>
      <c r="K65" s="109">
        <v>1</v>
      </c>
      <c r="L65" s="62"/>
      <c r="M65" s="187" t="s">
        <v>136</v>
      </c>
      <c r="N65" s="188"/>
      <c r="O65" s="63"/>
      <c r="W65" s="62"/>
    </row>
    <row r="66" spans="1:23" s="12" customFormat="1" ht="35.450000000000003" customHeight="1">
      <c r="A66" s="46"/>
      <c r="B66" s="86" t="s">
        <v>76</v>
      </c>
      <c r="C66" s="173" t="s">
        <v>124</v>
      </c>
      <c r="D66" s="173"/>
      <c r="E66" s="173"/>
      <c r="F66" s="174"/>
      <c r="G66" s="109"/>
      <c r="H66" s="109"/>
      <c r="I66" s="109"/>
      <c r="J66" s="109" t="s">
        <v>24</v>
      </c>
      <c r="K66" s="109">
        <v>2</v>
      </c>
      <c r="L66" s="62"/>
      <c r="M66" s="189"/>
      <c r="N66" s="190"/>
      <c r="O66" s="63"/>
      <c r="W66" s="62">
        <v>1</v>
      </c>
    </row>
    <row r="67" spans="1:23" s="12" customFormat="1" ht="35.450000000000003" customHeight="1">
      <c r="A67" s="46"/>
      <c r="B67" s="86" t="s">
        <v>125</v>
      </c>
      <c r="C67" s="173" t="s">
        <v>126</v>
      </c>
      <c r="D67" s="173"/>
      <c r="E67" s="173"/>
      <c r="F67" s="174"/>
      <c r="G67" s="85"/>
      <c r="H67" s="85"/>
      <c r="I67" s="85"/>
      <c r="J67" s="86" t="s">
        <v>24</v>
      </c>
      <c r="K67" s="87">
        <v>1</v>
      </c>
      <c r="L67" s="76"/>
      <c r="M67" s="189"/>
      <c r="N67" s="190"/>
      <c r="O67" s="63"/>
      <c r="W67" s="65">
        <v>1</v>
      </c>
    </row>
    <row r="68" spans="1:23" s="12" customFormat="1" ht="35.450000000000003" customHeight="1">
      <c r="A68" s="46"/>
      <c r="B68" s="86"/>
      <c r="C68" s="178" t="s">
        <v>127</v>
      </c>
      <c r="D68" s="173"/>
      <c r="E68" s="173"/>
      <c r="F68" s="174"/>
      <c r="G68" s="85"/>
      <c r="H68" s="85"/>
      <c r="I68" s="85"/>
      <c r="J68" s="86" t="s">
        <v>36</v>
      </c>
      <c r="K68" s="87">
        <v>3</v>
      </c>
      <c r="L68" s="62" t="e">
        <f>#REF!</f>
        <v>#REF!</v>
      </c>
      <c r="M68" s="191"/>
      <c r="N68" s="192"/>
      <c r="O68" s="63"/>
      <c r="W68" s="62">
        <v>1</v>
      </c>
    </row>
    <row r="69" spans="1:23" s="12" customFormat="1" ht="35.450000000000003" customHeight="1">
      <c r="A69" s="94"/>
      <c r="B69" s="184" t="s">
        <v>129</v>
      </c>
      <c r="C69" s="185"/>
      <c r="D69" s="185"/>
      <c r="E69" s="185"/>
      <c r="F69" s="185"/>
      <c r="G69" s="185"/>
      <c r="H69" s="185"/>
      <c r="I69" s="185"/>
      <c r="J69" s="185"/>
      <c r="K69" s="185"/>
      <c r="L69" s="185"/>
      <c r="M69" s="185"/>
      <c r="N69" s="186"/>
      <c r="O69" s="72"/>
      <c r="W69" s="95"/>
    </row>
    <row r="70" spans="1:23" s="12" customFormat="1" ht="35.450000000000003" customHeight="1">
      <c r="A70" s="94"/>
      <c r="B70" s="103"/>
      <c r="C70" s="178" t="s">
        <v>163</v>
      </c>
      <c r="D70" s="173"/>
      <c r="E70" s="173"/>
      <c r="F70" s="174"/>
      <c r="G70" s="85"/>
      <c r="H70" s="85"/>
      <c r="I70" s="85"/>
      <c r="J70" s="86" t="s">
        <v>24</v>
      </c>
      <c r="K70" s="87">
        <v>1</v>
      </c>
      <c r="L70" s="95"/>
      <c r="M70" s="187" t="s">
        <v>137</v>
      </c>
      <c r="N70" s="188"/>
      <c r="O70" s="72"/>
      <c r="W70" s="95"/>
    </row>
    <row r="71" spans="1:23" s="12" customFormat="1" ht="35.450000000000003" customHeight="1">
      <c r="A71" s="94"/>
      <c r="B71" s="86"/>
      <c r="C71" s="178" t="s">
        <v>165</v>
      </c>
      <c r="D71" s="173"/>
      <c r="E71" s="173"/>
      <c r="F71" s="174"/>
      <c r="G71" s="85"/>
      <c r="H71" s="85"/>
      <c r="I71" s="85"/>
      <c r="J71" s="86" t="s">
        <v>24</v>
      </c>
      <c r="K71" s="87">
        <v>1</v>
      </c>
      <c r="L71" s="95"/>
      <c r="M71" s="189"/>
      <c r="N71" s="190"/>
      <c r="O71" s="72"/>
      <c r="W71" s="95"/>
    </row>
    <row r="72" spans="1:23" s="12" customFormat="1" ht="35.450000000000003" customHeight="1">
      <c r="A72" s="94"/>
      <c r="B72" s="86"/>
      <c r="C72" s="178" t="s">
        <v>164</v>
      </c>
      <c r="D72" s="173"/>
      <c r="E72" s="173"/>
      <c r="F72" s="174"/>
      <c r="G72" s="85"/>
      <c r="H72" s="85"/>
      <c r="I72" s="85"/>
      <c r="J72" s="86" t="s">
        <v>36</v>
      </c>
      <c r="K72" s="87">
        <v>5</v>
      </c>
      <c r="L72" s="95"/>
      <c r="M72" s="189"/>
      <c r="N72" s="190"/>
      <c r="O72" s="72"/>
      <c r="W72" s="95"/>
    </row>
    <row r="73" spans="1:23" s="12" customFormat="1" ht="35.450000000000003" customHeight="1">
      <c r="A73" s="94"/>
      <c r="B73" s="86"/>
      <c r="C73" s="178" t="s">
        <v>139</v>
      </c>
      <c r="D73" s="173"/>
      <c r="E73" s="173"/>
      <c r="F73" s="174"/>
      <c r="G73" s="85"/>
      <c r="H73" s="85"/>
      <c r="I73" s="85"/>
      <c r="J73" s="86" t="s">
        <v>36</v>
      </c>
      <c r="K73" s="87">
        <v>8</v>
      </c>
      <c r="L73" s="95"/>
      <c r="M73" s="191"/>
      <c r="N73" s="192"/>
      <c r="O73" s="72"/>
      <c r="W73" s="95"/>
    </row>
    <row r="74" spans="1:23" s="12" customFormat="1" ht="35.450000000000003" customHeight="1">
      <c r="A74" s="47"/>
      <c r="B74" s="96"/>
      <c r="C74" s="97"/>
      <c r="D74" s="97"/>
      <c r="E74" s="97"/>
      <c r="F74" s="98"/>
      <c r="G74" s="99"/>
      <c r="H74" s="99"/>
      <c r="I74" s="99"/>
      <c r="J74" s="96"/>
      <c r="K74" s="100"/>
      <c r="L74" s="95"/>
      <c r="M74" s="113"/>
      <c r="N74" s="114"/>
      <c r="O74" s="67"/>
      <c r="W74" s="95"/>
    </row>
    <row r="75" spans="1:23" s="13" customFormat="1" ht="18.75">
      <c r="A75" s="14"/>
      <c r="B75" s="14"/>
      <c r="C75" s="49"/>
      <c r="D75" s="50" t="s">
        <v>42</v>
      </c>
      <c r="E75" s="51"/>
      <c r="F75" s="51"/>
      <c r="G75" s="52"/>
      <c r="H75" s="52"/>
      <c r="I75" s="71" t="s">
        <v>43</v>
      </c>
      <c r="J75" s="71"/>
      <c r="K75" s="52"/>
      <c r="L75" s="52"/>
      <c r="M75" s="182" t="s">
        <v>44</v>
      </c>
      <c r="N75" s="182"/>
    </row>
    <row r="76" spans="1:23">
      <c r="A76" s="13"/>
      <c r="B76" s="13"/>
    </row>
  </sheetData>
  <mergeCells count="110">
    <mergeCell ref="M75:N75"/>
    <mergeCell ref="M33:N33"/>
    <mergeCell ref="M35:N35"/>
    <mergeCell ref="M40:N40"/>
    <mergeCell ref="M43:N43"/>
    <mergeCell ref="M44:N44"/>
    <mergeCell ref="M45:N45"/>
    <mergeCell ref="M37:N37"/>
    <mergeCell ref="M38:N38"/>
    <mergeCell ref="M53:N53"/>
    <mergeCell ref="M34:N34"/>
    <mergeCell ref="B69:N69"/>
    <mergeCell ref="M70:N73"/>
    <mergeCell ref="C60:F60"/>
    <mergeCell ref="M65:N68"/>
    <mergeCell ref="C70:F70"/>
    <mergeCell ref="C71:F71"/>
    <mergeCell ref="C72:F72"/>
    <mergeCell ref="C73:F73"/>
    <mergeCell ref="M58:N58"/>
    <mergeCell ref="C43:F43"/>
    <mergeCell ref="C55:F55"/>
    <mergeCell ref="C57:F57"/>
    <mergeCell ref="C59:F59"/>
    <mergeCell ref="C58:F58"/>
    <mergeCell ref="C56:F56"/>
    <mergeCell ref="C67:F67"/>
    <mergeCell ref="B64:N64"/>
    <mergeCell ref="C53:F53"/>
    <mergeCell ref="C66:F66"/>
    <mergeCell ref="C68:F68"/>
    <mergeCell ref="C61:F61"/>
    <mergeCell ref="C62:F62"/>
    <mergeCell ref="C63:F63"/>
    <mergeCell ref="C65:F65"/>
    <mergeCell ref="C35:F35"/>
    <mergeCell ref="C36:F36"/>
    <mergeCell ref="M36:N36"/>
    <mergeCell ref="C48:F48"/>
    <mergeCell ref="C49:F49"/>
    <mergeCell ref="C50:F50"/>
    <mergeCell ref="C40:F40"/>
    <mergeCell ref="M41:N41"/>
    <mergeCell ref="C42:F42"/>
    <mergeCell ref="M42:N42"/>
    <mergeCell ref="C44:F44"/>
    <mergeCell ref="C41:F41"/>
    <mergeCell ref="C45:F45"/>
    <mergeCell ref="C39:F39"/>
    <mergeCell ref="C38:F38"/>
    <mergeCell ref="C51:F51"/>
    <mergeCell ref="C52:F52"/>
    <mergeCell ref="C54:F54"/>
    <mergeCell ref="M25:N25"/>
    <mergeCell ref="C26:F26"/>
    <mergeCell ref="M26:N26"/>
    <mergeCell ref="C19:F19"/>
    <mergeCell ref="C21:F21"/>
    <mergeCell ref="C23:F23"/>
    <mergeCell ref="M19:N19"/>
    <mergeCell ref="B24:N24"/>
    <mergeCell ref="M28:N28"/>
    <mergeCell ref="C29:F29"/>
    <mergeCell ref="M29:N29"/>
    <mergeCell ref="C30:F30"/>
    <mergeCell ref="M30:N30"/>
    <mergeCell ref="C31:F31"/>
    <mergeCell ref="M31:N31"/>
    <mergeCell ref="C32:F32"/>
    <mergeCell ref="M32:N32"/>
    <mergeCell ref="C33:F33"/>
    <mergeCell ref="M21:N21"/>
    <mergeCell ref="M23:N23"/>
    <mergeCell ref="C37:F37"/>
    <mergeCell ref="M27:N27"/>
    <mergeCell ref="C28:F28"/>
    <mergeCell ref="E1:L2"/>
    <mergeCell ref="N1:O1"/>
    <mergeCell ref="N2:O2"/>
    <mergeCell ref="A4:O4"/>
    <mergeCell ref="H6:I6"/>
    <mergeCell ref="M6:N6"/>
    <mergeCell ref="H8:I8"/>
    <mergeCell ref="M8:N8"/>
    <mergeCell ref="H10:I10"/>
    <mergeCell ref="M10:N10"/>
    <mergeCell ref="C34:F34"/>
    <mergeCell ref="C25:F25"/>
    <mergeCell ref="O25:O64"/>
    <mergeCell ref="C12:F12"/>
    <mergeCell ref="M12:N12"/>
    <mergeCell ref="C13:F13"/>
    <mergeCell ref="M13:N13"/>
    <mergeCell ref="C14:F14"/>
    <mergeCell ref="M14:N14"/>
    <mergeCell ref="C15:F15"/>
    <mergeCell ref="M15:N15"/>
    <mergeCell ref="C20:F20"/>
    <mergeCell ref="C16:F16"/>
    <mergeCell ref="M16:N16"/>
    <mergeCell ref="C17:F17"/>
    <mergeCell ref="M17:N17"/>
    <mergeCell ref="C18:F18"/>
    <mergeCell ref="M18:N18"/>
    <mergeCell ref="O21:O22"/>
    <mergeCell ref="C22:F22"/>
    <mergeCell ref="M22:N22"/>
    <mergeCell ref="C46:F46"/>
    <mergeCell ref="C47:F47"/>
    <mergeCell ref="C27:F27"/>
  </mergeCells>
  <dataValidations count="1">
    <dataValidation showInputMessage="1" showErrorMessage="1" error="Please select from list" sqref="IC9:ID9 RY9:RZ9 ABU9:ABV9 ALQ9:ALR9 AVM9:AVN9 BFI9:BFJ9 BPE9:BPF9 BZA9:BZB9 CIW9:CIX9 CSS9:CST9 DCO9:DCP9 DMK9:DML9 DWG9:DWH9 EGC9:EGD9 EPY9:EPZ9 EZU9:EZV9 FJQ9:FJR9 FTM9:FTN9 GDI9:GDJ9 GNE9:GNF9 GXA9:GXB9 HGW9:HGX9 HQS9:HQT9 IAO9:IAP9 IKK9:IKL9 IUG9:IUH9 JEC9:JED9 JNY9:JNZ9 JXU9:JXV9 KHQ9:KHR9 KRM9:KRN9 LBI9:LBJ9 LLE9:LLF9 LVA9:LVB9 MEW9:MEX9 MOS9:MOT9 MYO9:MYP9 NIK9:NIL9 NSG9:NSH9 OCC9:OCD9 OLY9:OLZ9 OVU9:OVV9 PFQ9:PFR9 PPM9:PPN9 PZI9:PZJ9 QJE9:QJF9 QTA9:QTB9 RCW9:RCX9 RMS9:RMT9 RWO9:RWP9 SGK9:SGL9 SQG9:SQH9 TAC9:TAD9 TJY9:TJZ9 TTU9:TTV9 UDQ9:UDR9 UNM9:UNN9 UXI9:UXJ9 VHE9:VHF9 VRA9:VRB9 WAW9:WAX9 WKS9:WKT9 WUO9:WUP9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65576:J65576 IC65576:ID65576 RY65576:RZ65576 ABU65576:ABV65576 ALQ65576:ALR65576 AVM65576:AVN65576 BFI65576:BFJ65576 BPE65576:BPF65576 BZA65576:BZB65576 CIW65576:CIX65576 CSS65576:CST65576 DCO65576:DCP65576 DMK65576:DML65576 DWG65576:DWH65576 EGC65576:EGD65576 EPY65576:EPZ65576 EZU65576:EZV65576 FJQ65576:FJR65576 FTM65576:FTN65576 GDI65576:GDJ65576 GNE65576:GNF65576 GXA65576:GXB65576 HGW65576:HGX65576 HQS65576:HQT65576 IAO65576:IAP65576 IKK65576:IKL65576 IUG65576:IUH65576 JEC65576:JED65576 JNY65576:JNZ65576 JXU65576:JXV65576 KHQ65576:KHR65576 KRM65576:KRN65576 LBI65576:LBJ65576 LLE65576:LLF65576 LVA65576:LVB65576 MEW65576:MEX65576 MOS65576:MOT65576 MYO65576:MYP65576 NIK65576:NIL65576 NSG65576:NSH65576 OCC65576:OCD65576 OLY65576:OLZ65576 OVU65576:OVV65576 PFQ65576:PFR65576 PPM65576:PPN65576 PZI65576:PZJ65576 QJE65576:QJF65576 QTA65576:QTB65576 RCW65576:RCX65576 RMS65576:RMT65576 RWO65576:RWP65576 SGK65576:SGL65576 SQG65576:SQH65576 TAC65576:TAD65576 TJY65576:TJZ65576 TTU65576:TTV65576 UDQ65576:UDR65576 UNM65576:UNN65576 UXI65576:UXJ65576 VHE65576:VHF65576 VRA65576:VRB65576 WAW65576:WAX65576 WKS65576:WKT65576 WUO65576:WUP65576 IF65577 SB65577 ABX65577 ALT65577 AVP65577 BFL65577 BPH65577 BZD65577 CIZ65577 CSV65577 DCR65577 DMN65577 DWJ65577 EGF65577 EQB65577 EZX65577 FJT65577 FTP65577 GDL65577 GNH65577 GXD65577 HGZ65577 HQV65577 IAR65577 IKN65577 IUJ65577 JEF65577 JOB65577 JXX65577 KHT65577 KRP65577 LBL65577 LLH65577 LVD65577 MEZ65577 MOV65577 MYR65577 NIN65577 NSJ65577 OCF65577 OMB65577 OVX65577 PFT65577 PPP65577 PZL65577 QJH65577 QTD65577 RCZ65577 RMV65577 RWR65577 SGN65577 SQJ65577 TAF65577 TKB65577 TTX65577 UDT65577 UNP65577 UXL65577 VHH65577 VRD65577 WAZ65577 WKV65577 WUR65577 ID65578 RZ65578 ABV65578 ALR65578 AVN65578 BFJ65578 BPF65578 BZB65578 CIX65578 CST65578 DCP65578 DML65578 DWH65578 EGD65578 EPZ65578 EZV65578 FJR65578 FTN65578 GDJ65578 GNF65578 GXB65578 HGX65578 HQT65578 IAP65578 IKL65578 IUH65578 JED65578 JNZ65578 JXV65578 KHR65578 KRN65578 LBJ65578 LLF65578 LVB65578 MEX65578 MOT65578 MYP65578 NIL65578 NSH65578 OCD65578 OLZ65578 OVV65578 PFR65578 PPN65578 PZJ65578 QJF65578 QTB65578 RCX65578 RMT65578 RWP65578 SGL65578 SQH65578 TAD65578 TJZ65578 TTV65578 UDR65578 UNN65578 UXJ65578 VHF65578 VRB65578 WAX65578 WKT65578 WUP65578 I131112:J131112 IC131112:ID131112 RY131112:RZ131112 ABU131112:ABV131112 ALQ131112:ALR131112 AVM131112:AVN131112 BFI131112:BFJ131112 BPE131112:BPF131112 BZA131112:BZB131112 CIW131112:CIX131112 CSS131112:CST131112 DCO131112:DCP131112 DMK131112:DML131112 DWG131112:DWH131112 EGC131112:EGD131112 EPY131112:EPZ131112 EZU131112:EZV131112 FJQ131112:FJR131112 FTM131112:FTN131112 GDI131112:GDJ131112 GNE131112:GNF131112 GXA131112:GXB131112 HGW131112:HGX131112 HQS131112:HQT131112 IAO131112:IAP131112 IKK131112:IKL131112 IUG131112:IUH131112 JEC131112:JED131112 JNY131112:JNZ131112 JXU131112:JXV131112 KHQ131112:KHR131112 KRM131112:KRN131112 LBI131112:LBJ131112 LLE131112:LLF131112 LVA131112:LVB131112 MEW131112:MEX131112 MOS131112:MOT131112 MYO131112:MYP131112 NIK131112:NIL131112 NSG131112:NSH131112 OCC131112:OCD131112 OLY131112:OLZ131112 OVU131112:OVV131112 PFQ131112:PFR131112 PPM131112:PPN131112 PZI131112:PZJ131112 QJE131112:QJF131112 QTA131112:QTB131112 RCW131112:RCX131112 RMS131112:RMT131112 RWO131112:RWP131112 SGK131112:SGL131112 SQG131112:SQH131112 TAC131112:TAD131112 TJY131112:TJZ131112 TTU131112:TTV131112 UDQ131112:UDR131112 UNM131112:UNN131112 UXI131112:UXJ131112 VHE131112:VHF131112 VRA131112:VRB131112 WAW131112:WAX131112 WKS131112:WKT131112 WUO131112:WUP131112 IF131113 SB131113 ABX131113 ALT131113 AVP131113 BFL131113 BPH131113 BZD131113 CIZ131113 CSV131113 DCR131113 DMN131113 DWJ131113 EGF131113 EQB131113 EZX131113 FJT131113 FTP131113 GDL131113 GNH131113 GXD131113 HGZ131113 HQV131113 IAR131113 IKN131113 IUJ131113 JEF131113 JOB131113 JXX131113 KHT131113 KRP131113 LBL131113 LLH131113 LVD131113 MEZ131113 MOV131113 MYR131113 NIN131113 NSJ131113 OCF131113 OMB131113 OVX131113 PFT131113 PPP131113 PZL131113 QJH131113 QTD131113 RCZ131113 RMV131113 RWR131113 SGN131113 SQJ131113 TAF131113 TKB131113 TTX131113 UDT131113 UNP131113 UXL131113 VHH131113 VRD131113 WAZ131113 WKV131113 WUR131113 ID131114 RZ131114 ABV131114 ALR131114 AVN131114 BFJ131114 BPF131114 BZB131114 CIX131114 CST131114 DCP131114 DML131114 DWH131114 EGD131114 EPZ131114 EZV131114 FJR131114 FTN131114 GDJ131114 GNF131114 GXB131114 HGX131114 HQT131114 IAP131114 IKL131114 IUH131114 JED131114 JNZ131114 JXV131114 KHR131114 KRN131114 LBJ131114 LLF131114 LVB131114 MEX131114 MOT131114 MYP131114 NIL131114 NSH131114 OCD131114 OLZ131114 OVV131114 PFR131114 PPN131114 PZJ131114 QJF131114 QTB131114 RCX131114 RMT131114 RWP131114 SGL131114 SQH131114 TAD131114 TJZ131114 TTV131114 UDR131114 UNN131114 UXJ131114 VHF131114 VRB131114 WAX131114 WKT131114 WUP131114 I196648:J196648 IC196648:ID196648 RY196648:RZ196648 ABU196648:ABV196648 ALQ196648:ALR196648 AVM196648:AVN196648 BFI196648:BFJ196648 BPE196648:BPF196648 BZA196648:BZB196648 CIW196648:CIX196648 CSS196648:CST196648 DCO196648:DCP196648 DMK196648:DML196648 DWG196648:DWH196648 EGC196648:EGD196648 EPY196648:EPZ196648 EZU196648:EZV196648 FJQ196648:FJR196648 FTM196648:FTN196648 GDI196648:GDJ196648 GNE196648:GNF196648 GXA196648:GXB196648 HGW196648:HGX196648 HQS196648:HQT196648 IAO196648:IAP196648 IKK196648:IKL196648 IUG196648:IUH196648 JEC196648:JED196648 JNY196648:JNZ196648 JXU196648:JXV196648 KHQ196648:KHR196648 KRM196648:KRN196648 LBI196648:LBJ196648 LLE196648:LLF196648 LVA196648:LVB196648 MEW196648:MEX196648 MOS196648:MOT196648 MYO196648:MYP196648 NIK196648:NIL196648 NSG196648:NSH196648 OCC196648:OCD196648 OLY196648:OLZ196648 OVU196648:OVV196648 PFQ196648:PFR196648 PPM196648:PPN196648 PZI196648:PZJ196648 QJE196648:QJF196648 QTA196648:QTB196648 RCW196648:RCX196648 RMS196648:RMT196648 RWO196648:RWP196648 SGK196648:SGL196648 SQG196648:SQH196648 TAC196648:TAD196648 TJY196648:TJZ196648 TTU196648:TTV196648 UDQ196648:UDR196648 UNM196648:UNN196648 UXI196648:UXJ196648 VHE196648:VHF196648 VRA196648:VRB196648 WAW196648:WAX196648 WKS196648:WKT196648 WUO196648:WUP196648 IF196649 SB196649 ABX196649 ALT196649 AVP196649 BFL196649 BPH196649 BZD196649 CIZ196649 CSV196649 DCR196649 DMN196649 DWJ196649 EGF196649 EQB196649 EZX196649 FJT196649 FTP196649 GDL196649 GNH196649 GXD196649 HGZ196649 HQV196649 IAR196649 IKN196649 IUJ196649 JEF196649 JOB196649 JXX196649 KHT196649 KRP196649 LBL196649 LLH196649 LVD196649 MEZ196649 MOV196649 MYR196649 NIN196649 NSJ196649 OCF196649 OMB196649 OVX196649 PFT196649 PPP196649 PZL196649 QJH196649 QTD196649 RCZ196649 RMV196649 RWR196649 SGN196649 SQJ196649 TAF196649 TKB196649 TTX196649 UDT196649 UNP196649 UXL196649 VHH196649 VRD196649 WAZ196649 WKV196649 WUR196649 ID196650 RZ196650 ABV196650 ALR196650 AVN196650 BFJ196650 BPF196650 BZB196650 CIX196650 CST196650 DCP196650 DML196650 DWH196650 EGD196650 EPZ196650 EZV196650 FJR196650 FTN196650 GDJ196650 GNF196650 GXB196650 HGX196650 HQT196650 IAP196650 IKL196650 IUH196650 JED196650 JNZ196650 JXV196650 KHR196650 KRN196650 LBJ196650 LLF196650 LVB196650 MEX196650 MOT196650 MYP196650 NIL196650 NSH196650 OCD196650 OLZ196650 OVV196650 PFR196650 PPN196650 PZJ196650 QJF196650 QTB196650 RCX196650 RMT196650 RWP196650 SGL196650 SQH196650 TAD196650 TJZ196650 TTV196650 UDR196650 UNN196650 UXJ196650 VHF196650 VRB196650 WAX196650 WKT196650 WUP196650 I262184:J262184 IC262184:ID262184 RY262184:RZ262184 ABU262184:ABV262184 ALQ262184:ALR262184 AVM262184:AVN262184 BFI262184:BFJ262184 BPE262184:BPF262184 BZA262184:BZB262184 CIW262184:CIX262184 CSS262184:CST262184 DCO262184:DCP262184 DMK262184:DML262184 DWG262184:DWH262184 EGC262184:EGD262184 EPY262184:EPZ262184 EZU262184:EZV262184 FJQ262184:FJR262184 FTM262184:FTN262184 GDI262184:GDJ262184 GNE262184:GNF262184 GXA262184:GXB262184 HGW262184:HGX262184 HQS262184:HQT262184 IAO262184:IAP262184 IKK262184:IKL262184 IUG262184:IUH262184 JEC262184:JED262184 JNY262184:JNZ262184 JXU262184:JXV262184 KHQ262184:KHR262184 KRM262184:KRN262184 LBI262184:LBJ262184 LLE262184:LLF262184 LVA262184:LVB262184 MEW262184:MEX262184 MOS262184:MOT262184 MYO262184:MYP262184 NIK262184:NIL262184 NSG262184:NSH262184 OCC262184:OCD262184 OLY262184:OLZ262184 OVU262184:OVV262184 PFQ262184:PFR262184 PPM262184:PPN262184 PZI262184:PZJ262184 QJE262184:QJF262184 QTA262184:QTB262184 RCW262184:RCX262184 RMS262184:RMT262184 RWO262184:RWP262184 SGK262184:SGL262184 SQG262184:SQH262184 TAC262184:TAD262184 TJY262184:TJZ262184 TTU262184:TTV262184 UDQ262184:UDR262184 UNM262184:UNN262184 UXI262184:UXJ262184 VHE262184:VHF262184 VRA262184:VRB262184 WAW262184:WAX262184 WKS262184:WKT262184 WUO262184:WUP262184 IF262185 SB262185 ABX262185 ALT262185 AVP262185 BFL262185 BPH262185 BZD262185 CIZ262185 CSV262185 DCR262185 DMN262185 DWJ262185 EGF262185 EQB262185 EZX262185 FJT262185 FTP262185 GDL262185 GNH262185 GXD262185 HGZ262185 HQV262185 IAR262185 IKN262185 IUJ262185 JEF262185 JOB262185 JXX262185 KHT262185 KRP262185 LBL262185 LLH262185 LVD262185 MEZ262185 MOV262185 MYR262185 NIN262185 NSJ262185 OCF262185 OMB262185 OVX262185 PFT262185 PPP262185 PZL262185 QJH262185 QTD262185 RCZ262185 RMV262185 RWR262185 SGN262185 SQJ262185 TAF262185 TKB262185 TTX262185 UDT262185 UNP262185 UXL262185 VHH262185 VRD262185 WAZ262185 WKV262185 WUR262185 ID262186 RZ262186 ABV262186 ALR262186 AVN262186 BFJ262186 BPF262186 BZB262186 CIX262186 CST262186 DCP262186 DML262186 DWH262186 EGD262186 EPZ262186 EZV262186 FJR262186 FTN262186 GDJ262186 GNF262186 GXB262186 HGX262186 HQT262186 IAP262186 IKL262186 IUH262186 JED262186 JNZ262186 JXV262186 KHR262186 KRN262186 LBJ262186 LLF262186 LVB262186 MEX262186 MOT262186 MYP262186 NIL262186 NSH262186 OCD262186 OLZ262186 OVV262186 PFR262186 PPN262186 PZJ262186 QJF262186 QTB262186 RCX262186 RMT262186 RWP262186 SGL262186 SQH262186 TAD262186 TJZ262186 TTV262186 UDR262186 UNN262186 UXJ262186 VHF262186 VRB262186 WAX262186 WKT262186 WUP262186 I327720:J327720 IC327720:ID327720 RY327720:RZ327720 ABU327720:ABV327720 ALQ327720:ALR327720 AVM327720:AVN327720 BFI327720:BFJ327720 BPE327720:BPF327720 BZA327720:BZB327720 CIW327720:CIX327720 CSS327720:CST327720 DCO327720:DCP327720 DMK327720:DML327720 DWG327720:DWH327720 EGC327720:EGD327720 EPY327720:EPZ327720 EZU327720:EZV327720 FJQ327720:FJR327720 FTM327720:FTN327720 GDI327720:GDJ327720 GNE327720:GNF327720 GXA327720:GXB327720 HGW327720:HGX327720 HQS327720:HQT327720 IAO327720:IAP327720 IKK327720:IKL327720 IUG327720:IUH327720 JEC327720:JED327720 JNY327720:JNZ327720 JXU327720:JXV327720 KHQ327720:KHR327720 KRM327720:KRN327720 LBI327720:LBJ327720 LLE327720:LLF327720 LVA327720:LVB327720 MEW327720:MEX327720 MOS327720:MOT327720 MYO327720:MYP327720 NIK327720:NIL327720 NSG327720:NSH327720 OCC327720:OCD327720 OLY327720:OLZ327720 OVU327720:OVV327720 PFQ327720:PFR327720 PPM327720:PPN327720 PZI327720:PZJ327720 QJE327720:QJF327720 QTA327720:QTB327720 RCW327720:RCX327720 RMS327720:RMT327720 RWO327720:RWP327720 SGK327720:SGL327720 SQG327720:SQH327720 TAC327720:TAD327720 TJY327720:TJZ327720 TTU327720:TTV327720 UDQ327720:UDR327720 UNM327720:UNN327720 UXI327720:UXJ327720 VHE327720:VHF327720 VRA327720:VRB327720 WAW327720:WAX327720 WKS327720:WKT327720 WUO327720:WUP327720 IF327721 SB327721 ABX327721 ALT327721 AVP327721 BFL327721 BPH327721 BZD327721 CIZ327721 CSV327721 DCR327721 DMN327721 DWJ327721 EGF327721 EQB327721 EZX327721 FJT327721 FTP327721 GDL327721 GNH327721 GXD327721 HGZ327721 HQV327721 IAR327721 IKN327721 IUJ327721 JEF327721 JOB327721 JXX327721 KHT327721 KRP327721 LBL327721 LLH327721 LVD327721 MEZ327721 MOV327721 MYR327721 NIN327721 NSJ327721 OCF327721 OMB327721 OVX327721 PFT327721 PPP327721 PZL327721 QJH327721 QTD327721 RCZ327721 RMV327721 RWR327721 SGN327721 SQJ327721 TAF327721 TKB327721 TTX327721 UDT327721 UNP327721 UXL327721 VHH327721 VRD327721 WAZ327721 WKV327721 WUR327721 ID327722 RZ327722 ABV327722 ALR327722 AVN327722 BFJ327722 BPF327722 BZB327722 CIX327722 CST327722 DCP327722 DML327722 DWH327722 EGD327722 EPZ327722 EZV327722 FJR327722 FTN327722 GDJ327722 GNF327722 GXB327722 HGX327722 HQT327722 IAP327722 IKL327722 IUH327722 JED327722 JNZ327722 JXV327722 KHR327722 KRN327722 LBJ327722 LLF327722 LVB327722 MEX327722 MOT327722 MYP327722 NIL327722 NSH327722 OCD327722 OLZ327722 OVV327722 PFR327722 PPN327722 PZJ327722 QJF327722 QTB327722 RCX327722 RMT327722 RWP327722 SGL327722 SQH327722 TAD327722 TJZ327722 TTV327722 UDR327722 UNN327722 UXJ327722 VHF327722 VRB327722 WAX327722 WKT327722 WUP327722 I393256:J393256 IC393256:ID393256 RY393256:RZ393256 ABU393256:ABV393256 ALQ393256:ALR393256 AVM393256:AVN393256 BFI393256:BFJ393256 BPE393256:BPF393256 BZA393256:BZB393256 CIW393256:CIX393256 CSS393256:CST393256 DCO393256:DCP393256 DMK393256:DML393256 DWG393256:DWH393256 EGC393256:EGD393256 EPY393256:EPZ393256 EZU393256:EZV393256 FJQ393256:FJR393256 FTM393256:FTN393256 GDI393256:GDJ393256 GNE393256:GNF393256 GXA393256:GXB393256 HGW393256:HGX393256 HQS393256:HQT393256 IAO393256:IAP393256 IKK393256:IKL393256 IUG393256:IUH393256 JEC393256:JED393256 JNY393256:JNZ393256 JXU393256:JXV393256 KHQ393256:KHR393256 KRM393256:KRN393256 LBI393256:LBJ393256 LLE393256:LLF393256 LVA393256:LVB393256 MEW393256:MEX393256 MOS393256:MOT393256 MYO393256:MYP393256 NIK393256:NIL393256 NSG393256:NSH393256 OCC393256:OCD393256 OLY393256:OLZ393256 OVU393256:OVV393256 PFQ393256:PFR393256 PPM393256:PPN393256 PZI393256:PZJ393256 QJE393256:QJF393256 QTA393256:QTB393256 RCW393256:RCX393256 RMS393256:RMT393256 RWO393256:RWP393256 SGK393256:SGL393256 SQG393256:SQH393256 TAC393256:TAD393256 TJY393256:TJZ393256 TTU393256:TTV393256 UDQ393256:UDR393256 UNM393256:UNN393256 UXI393256:UXJ393256 VHE393256:VHF393256 VRA393256:VRB393256 WAW393256:WAX393256 WKS393256:WKT393256 WUO393256:WUP393256 IF393257 SB393257 ABX393257 ALT393257 AVP393257 BFL393257 BPH393257 BZD393257 CIZ393257 CSV393257 DCR393257 DMN393257 DWJ393257 EGF393257 EQB393257 EZX393257 FJT393257 FTP393257 GDL393257 GNH393257 GXD393257 HGZ393257 HQV393257 IAR393257 IKN393257 IUJ393257 JEF393257 JOB393257 JXX393257 KHT393257 KRP393257 LBL393257 LLH393257 LVD393257 MEZ393257 MOV393257 MYR393257 NIN393257 NSJ393257 OCF393257 OMB393257 OVX393257 PFT393257 PPP393257 PZL393257 QJH393257 QTD393257 RCZ393257 RMV393257 RWR393257 SGN393257 SQJ393257 TAF393257 TKB393257 TTX393257 UDT393257 UNP393257 UXL393257 VHH393257 VRD393257 WAZ393257 WKV393257 WUR393257 ID393258 RZ393258 ABV393258 ALR393258 AVN393258 BFJ393258 BPF393258 BZB393258 CIX393258 CST393258 DCP393258 DML393258 DWH393258 EGD393258 EPZ393258 EZV393258 FJR393258 FTN393258 GDJ393258 GNF393258 GXB393258 HGX393258 HQT393258 IAP393258 IKL393258 IUH393258 JED393258 JNZ393258 JXV393258 KHR393258 KRN393258 LBJ393258 LLF393258 LVB393258 MEX393258 MOT393258 MYP393258 NIL393258 NSH393258 OCD393258 OLZ393258 OVV393258 PFR393258 PPN393258 PZJ393258 QJF393258 QTB393258 RCX393258 RMT393258 RWP393258 SGL393258 SQH393258 TAD393258 TJZ393258 TTV393258 UDR393258 UNN393258 UXJ393258 VHF393258 VRB393258 WAX393258 WKT393258 WUP393258 I458792:J458792 IC458792:ID458792 RY458792:RZ458792 ABU458792:ABV458792 ALQ458792:ALR458792 AVM458792:AVN458792 BFI458792:BFJ458792 BPE458792:BPF458792 BZA458792:BZB458792 CIW458792:CIX458792 CSS458792:CST458792 DCO458792:DCP458792 DMK458792:DML458792 DWG458792:DWH458792 EGC458792:EGD458792 EPY458792:EPZ458792 EZU458792:EZV458792 FJQ458792:FJR458792 FTM458792:FTN458792 GDI458792:GDJ458792 GNE458792:GNF458792 GXA458792:GXB458792 HGW458792:HGX458792 HQS458792:HQT458792 IAO458792:IAP458792 IKK458792:IKL458792 IUG458792:IUH458792 JEC458792:JED458792 JNY458792:JNZ458792 JXU458792:JXV458792 KHQ458792:KHR458792 KRM458792:KRN458792 LBI458792:LBJ458792 LLE458792:LLF458792 LVA458792:LVB458792 MEW458792:MEX458792 MOS458792:MOT458792 MYO458792:MYP458792 NIK458792:NIL458792 NSG458792:NSH458792 OCC458792:OCD458792 OLY458792:OLZ458792 OVU458792:OVV458792 PFQ458792:PFR458792 PPM458792:PPN458792 PZI458792:PZJ458792 QJE458792:QJF458792 QTA458792:QTB458792 RCW458792:RCX458792 RMS458792:RMT458792 RWO458792:RWP458792 SGK458792:SGL458792 SQG458792:SQH458792 TAC458792:TAD458792 TJY458792:TJZ458792 TTU458792:TTV458792 UDQ458792:UDR458792 UNM458792:UNN458792 UXI458792:UXJ458792 VHE458792:VHF458792 VRA458792:VRB458792 WAW458792:WAX458792 WKS458792:WKT458792 WUO458792:WUP458792 IF458793 SB458793 ABX458793 ALT458793 AVP458793 BFL458793 BPH458793 BZD458793 CIZ458793 CSV458793 DCR458793 DMN458793 DWJ458793 EGF458793 EQB458793 EZX458793 FJT458793 FTP458793 GDL458793 GNH458793 GXD458793 HGZ458793 HQV458793 IAR458793 IKN458793 IUJ458793 JEF458793 JOB458793 JXX458793 KHT458793 KRP458793 LBL458793 LLH458793 LVD458793 MEZ458793 MOV458793 MYR458793 NIN458793 NSJ458793 OCF458793 OMB458793 OVX458793 PFT458793 PPP458793 PZL458793 QJH458793 QTD458793 RCZ458793 RMV458793 RWR458793 SGN458793 SQJ458793 TAF458793 TKB458793 TTX458793 UDT458793 UNP458793 UXL458793 VHH458793 VRD458793 WAZ458793 WKV458793 WUR458793 ID458794 RZ458794 ABV458794 ALR458794 AVN458794 BFJ458794 BPF458794 BZB458794 CIX458794 CST458794 DCP458794 DML458794 DWH458794 EGD458794 EPZ458794 EZV458794 FJR458794 FTN458794 GDJ458794 GNF458794 GXB458794 HGX458794 HQT458794 IAP458794 IKL458794 IUH458794 JED458794 JNZ458794 JXV458794 KHR458794 KRN458794 LBJ458794 LLF458794 LVB458794 MEX458794 MOT458794 MYP458794 NIL458794 NSH458794 OCD458794 OLZ458794 OVV458794 PFR458794 PPN458794 PZJ458794 QJF458794 QTB458794 RCX458794 RMT458794 RWP458794 SGL458794 SQH458794 TAD458794 TJZ458794 TTV458794 UDR458794 UNN458794 UXJ458794 VHF458794 VRB458794 WAX458794 WKT458794 WUP458794 I524328:J524328 IC524328:ID524328 RY524328:RZ524328 ABU524328:ABV524328 ALQ524328:ALR524328 AVM524328:AVN524328 BFI524328:BFJ524328 BPE524328:BPF524328 BZA524328:BZB524328 CIW524328:CIX524328 CSS524328:CST524328 DCO524328:DCP524328 DMK524328:DML524328 DWG524328:DWH524328 EGC524328:EGD524328 EPY524328:EPZ524328 EZU524328:EZV524328 FJQ524328:FJR524328 FTM524328:FTN524328 GDI524328:GDJ524328 GNE524328:GNF524328 GXA524328:GXB524328 HGW524328:HGX524328 HQS524328:HQT524328 IAO524328:IAP524328 IKK524328:IKL524328 IUG524328:IUH524328 JEC524328:JED524328 JNY524328:JNZ524328 JXU524328:JXV524328 KHQ524328:KHR524328 KRM524328:KRN524328 LBI524328:LBJ524328 LLE524328:LLF524328 LVA524328:LVB524328 MEW524328:MEX524328 MOS524328:MOT524328 MYO524328:MYP524328 NIK524328:NIL524328 NSG524328:NSH524328 OCC524328:OCD524328 OLY524328:OLZ524328 OVU524328:OVV524328 PFQ524328:PFR524328 PPM524328:PPN524328 PZI524328:PZJ524328 QJE524328:QJF524328 QTA524328:QTB524328 RCW524328:RCX524328 RMS524328:RMT524328 RWO524328:RWP524328 SGK524328:SGL524328 SQG524328:SQH524328 TAC524328:TAD524328 TJY524328:TJZ524328 TTU524328:TTV524328 UDQ524328:UDR524328 UNM524328:UNN524328 UXI524328:UXJ524328 VHE524328:VHF524328 VRA524328:VRB524328 WAW524328:WAX524328 WKS524328:WKT524328 WUO524328:WUP524328 IF524329 SB524329 ABX524329 ALT524329 AVP524329 BFL524329 BPH524329 BZD524329 CIZ524329 CSV524329 DCR524329 DMN524329 DWJ524329 EGF524329 EQB524329 EZX524329 FJT524329 FTP524329 GDL524329 GNH524329 GXD524329 HGZ524329 HQV524329 IAR524329 IKN524329 IUJ524329 JEF524329 JOB524329 JXX524329 KHT524329 KRP524329 LBL524329 LLH524329 LVD524329 MEZ524329 MOV524329 MYR524329 NIN524329 NSJ524329 OCF524329 OMB524329 OVX524329 PFT524329 PPP524329 PZL524329 QJH524329 QTD524329 RCZ524329 RMV524329 RWR524329 SGN524329 SQJ524329 TAF524329 TKB524329 TTX524329 UDT524329 UNP524329 UXL524329 VHH524329 VRD524329 WAZ524329 WKV524329 WUR524329 ID524330 RZ524330 ABV524330 ALR524330 AVN524330 BFJ524330 BPF524330 BZB524330 CIX524330 CST524330 DCP524330 DML524330 DWH524330 EGD524330 EPZ524330 EZV524330 FJR524330 FTN524330 GDJ524330 GNF524330 GXB524330 HGX524330 HQT524330 IAP524330 IKL524330 IUH524330 JED524330 JNZ524330 JXV524330 KHR524330 KRN524330 LBJ524330 LLF524330 LVB524330 MEX524330 MOT524330 MYP524330 NIL524330 NSH524330 OCD524330 OLZ524330 OVV524330 PFR524330 PPN524330 PZJ524330 QJF524330 QTB524330 RCX524330 RMT524330 RWP524330 SGL524330 SQH524330 TAD524330 TJZ524330 TTV524330 UDR524330 UNN524330 UXJ524330 VHF524330 VRB524330 WAX524330 WKT524330 WUP524330 I589864:J589864 IC589864:ID589864 RY589864:RZ589864 ABU589864:ABV589864 ALQ589864:ALR589864 AVM589864:AVN589864 BFI589864:BFJ589864 BPE589864:BPF589864 BZA589864:BZB589864 CIW589864:CIX589864 CSS589864:CST589864 DCO589864:DCP589864 DMK589864:DML589864 DWG589864:DWH589864 EGC589864:EGD589864 EPY589864:EPZ589864 EZU589864:EZV589864 FJQ589864:FJR589864 FTM589864:FTN589864 GDI589864:GDJ589864 GNE589864:GNF589864 GXA589864:GXB589864 HGW589864:HGX589864 HQS589864:HQT589864 IAO589864:IAP589864 IKK589864:IKL589864 IUG589864:IUH589864 JEC589864:JED589864 JNY589864:JNZ589864 JXU589864:JXV589864 KHQ589864:KHR589864 KRM589864:KRN589864 LBI589864:LBJ589864 LLE589864:LLF589864 LVA589864:LVB589864 MEW589864:MEX589864 MOS589864:MOT589864 MYO589864:MYP589864 NIK589864:NIL589864 NSG589864:NSH589864 OCC589864:OCD589864 OLY589864:OLZ589864 OVU589864:OVV589864 PFQ589864:PFR589864 PPM589864:PPN589864 PZI589864:PZJ589864 QJE589864:QJF589864 QTA589864:QTB589864 RCW589864:RCX589864 RMS589864:RMT589864 RWO589864:RWP589864 SGK589864:SGL589864 SQG589864:SQH589864 TAC589864:TAD589864 TJY589864:TJZ589864 TTU589864:TTV589864 UDQ589864:UDR589864 UNM589864:UNN589864 UXI589864:UXJ589864 VHE589864:VHF589864 VRA589864:VRB589864 WAW589864:WAX589864 WKS589864:WKT589864 WUO589864:WUP589864 IF589865 SB589865 ABX589865 ALT589865 AVP589865 BFL589865 BPH589865 BZD589865 CIZ589865 CSV589865 DCR589865 DMN589865 DWJ589865 EGF589865 EQB589865 EZX589865 FJT589865 FTP589865 GDL589865 GNH589865 GXD589865 HGZ589865 HQV589865 IAR589865 IKN589865 IUJ589865 JEF589865 JOB589865 JXX589865 KHT589865 KRP589865 LBL589865 LLH589865 LVD589865 MEZ589865 MOV589865 MYR589865 NIN589865 NSJ589865 OCF589865 OMB589865 OVX589865 PFT589865 PPP589865 PZL589865 QJH589865 QTD589865 RCZ589865 RMV589865 RWR589865 SGN589865 SQJ589865 TAF589865 TKB589865 TTX589865 UDT589865 UNP589865 UXL589865 VHH589865 VRD589865 WAZ589865 WKV589865 WUR589865 ID589866 RZ589866 ABV589866 ALR589866 AVN589866 BFJ589866 BPF589866 BZB589866 CIX589866 CST589866 DCP589866 DML589866 DWH589866 EGD589866 EPZ589866 EZV589866 FJR589866 FTN589866 GDJ589866 GNF589866 GXB589866 HGX589866 HQT589866 IAP589866 IKL589866 IUH589866 JED589866 JNZ589866 JXV589866 KHR589866 KRN589866 LBJ589866 LLF589866 LVB589866 MEX589866 MOT589866 MYP589866 NIL589866 NSH589866 OCD589866 OLZ589866 OVV589866 PFR589866 PPN589866 PZJ589866 QJF589866 QTB589866 RCX589866 RMT589866 RWP589866 SGL589866 SQH589866 TAD589866 TJZ589866 TTV589866 UDR589866 UNN589866 UXJ589866 VHF589866 VRB589866 WAX589866 WKT589866 WUP589866 I655400:J655400 IC655400:ID655400 RY655400:RZ655400 ABU655400:ABV655400 ALQ655400:ALR655400 AVM655400:AVN655400 BFI655400:BFJ655400 BPE655400:BPF655400 BZA655400:BZB655400 CIW655400:CIX655400 CSS655400:CST655400 DCO655400:DCP655400 DMK655400:DML655400 DWG655400:DWH655400 EGC655400:EGD655400 EPY655400:EPZ655400 EZU655400:EZV655400 FJQ655400:FJR655400 FTM655400:FTN655400 GDI655400:GDJ655400 GNE655400:GNF655400 GXA655400:GXB655400 HGW655400:HGX655400 HQS655400:HQT655400 IAO655400:IAP655400 IKK655400:IKL655400 IUG655400:IUH655400 JEC655400:JED655400 JNY655400:JNZ655400 JXU655400:JXV655400 KHQ655400:KHR655400 KRM655400:KRN655400 LBI655400:LBJ655400 LLE655400:LLF655400 LVA655400:LVB655400 MEW655400:MEX655400 MOS655400:MOT655400 MYO655400:MYP655400 NIK655400:NIL655400 NSG655400:NSH655400 OCC655400:OCD655400 OLY655400:OLZ655400 OVU655400:OVV655400 PFQ655400:PFR655400 PPM655400:PPN655400 PZI655400:PZJ655400 QJE655400:QJF655400 QTA655400:QTB655400 RCW655400:RCX655400 RMS655400:RMT655400 RWO655400:RWP655400 SGK655400:SGL655400 SQG655400:SQH655400 TAC655400:TAD655400 TJY655400:TJZ655400 TTU655400:TTV655400 UDQ655400:UDR655400 UNM655400:UNN655400 UXI655400:UXJ655400 VHE655400:VHF655400 VRA655400:VRB655400 WAW655400:WAX655400 WKS655400:WKT655400 WUO655400:WUP655400 IF655401 SB655401 ABX655401 ALT655401 AVP655401 BFL655401 BPH655401 BZD655401 CIZ655401 CSV655401 DCR655401 DMN655401 DWJ655401 EGF655401 EQB655401 EZX655401 FJT655401 FTP655401 GDL655401 GNH655401 GXD655401 HGZ655401 HQV655401 IAR655401 IKN655401 IUJ655401 JEF655401 JOB655401 JXX655401 KHT655401 KRP655401 LBL655401 LLH655401 LVD655401 MEZ655401 MOV655401 MYR655401 NIN655401 NSJ655401 OCF655401 OMB655401 OVX655401 PFT655401 PPP655401 PZL655401 QJH655401 QTD655401 RCZ655401 RMV655401 RWR655401 SGN655401 SQJ655401 TAF655401 TKB655401 TTX655401 UDT655401 UNP655401 UXL655401 VHH655401 VRD655401 WAZ655401 WKV655401 WUR655401 ID655402 RZ655402 ABV655402 ALR655402 AVN655402 BFJ655402 BPF655402 BZB655402 CIX655402 CST655402 DCP655402 DML655402 DWH655402 EGD655402 EPZ655402 EZV655402 FJR655402 FTN655402 GDJ655402 GNF655402 GXB655402 HGX655402 HQT655402 IAP655402 IKL655402 IUH655402 JED655402 JNZ655402 JXV655402 KHR655402 KRN655402 LBJ655402 LLF655402 LVB655402 MEX655402 MOT655402 MYP655402 NIL655402 NSH655402 OCD655402 OLZ655402 OVV655402 PFR655402 PPN655402 PZJ655402 QJF655402 QTB655402 RCX655402 RMT655402 RWP655402 SGL655402 SQH655402 TAD655402 TJZ655402 TTV655402 UDR655402 UNN655402 UXJ655402 VHF655402 VRB655402 WAX655402 WKT655402 WUP655402 I720936:J720936 IC720936:ID720936 RY720936:RZ720936 ABU720936:ABV720936 ALQ720936:ALR720936 AVM720936:AVN720936 BFI720936:BFJ720936 BPE720936:BPF720936 BZA720936:BZB720936 CIW720936:CIX720936 CSS720936:CST720936 DCO720936:DCP720936 DMK720936:DML720936 DWG720936:DWH720936 EGC720936:EGD720936 EPY720936:EPZ720936 EZU720936:EZV720936 FJQ720936:FJR720936 FTM720936:FTN720936 GDI720936:GDJ720936 GNE720936:GNF720936 GXA720936:GXB720936 HGW720936:HGX720936 HQS720936:HQT720936 IAO720936:IAP720936 IKK720936:IKL720936 IUG720936:IUH720936 JEC720936:JED720936 JNY720936:JNZ720936 JXU720936:JXV720936 KHQ720936:KHR720936 KRM720936:KRN720936 LBI720936:LBJ720936 LLE720936:LLF720936 LVA720936:LVB720936 MEW720936:MEX720936 MOS720936:MOT720936 MYO720936:MYP720936 NIK720936:NIL720936 NSG720936:NSH720936 OCC720936:OCD720936 OLY720936:OLZ720936 OVU720936:OVV720936 PFQ720936:PFR720936 PPM720936:PPN720936 PZI720936:PZJ720936 QJE720936:QJF720936 QTA720936:QTB720936 RCW720936:RCX720936 RMS720936:RMT720936 RWO720936:RWP720936 SGK720936:SGL720936 SQG720936:SQH720936 TAC720936:TAD720936 TJY720936:TJZ720936 TTU720936:TTV720936 UDQ720936:UDR720936 UNM720936:UNN720936 UXI720936:UXJ720936 VHE720936:VHF720936 VRA720936:VRB720936 WAW720936:WAX720936 WKS720936:WKT720936 WUO720936:WUP720936 IF720937 SB720937 ABX720937 ALT720937 AVP720937 BFL720937 BPH720937 BZD720937 CIZ720937 CSV720937 DCR720937 DMN720937 DWJ720937 EGF720937 EQB720937 EZX720937 FJT720937 FTP720937 GDL720937 GNH720937 GXD720937 HGZ720937 HQV720937 IAR720937 IKN720937 IUJ720937 JEF720937 JOB720937 JXX720937 KHT720937 KRP720937 LBL720937 LLH720937 LVD720937 MEZ720937 MOV720937 MYR720937 NIN720937 NSJ720937 OCF720937 OMB720937 OVX720937 PFT720937 PPP720937 PZL720937 QJH720937 QTD720937 RCZ720937 RMV720937 RWR720937 SGN720937 SQJ720937 TAF720937 TKB720937 TTX720937 UDT720937 UNP720937 UXL720937 VHH720937 VRD720937 WAZ720937 WKV720937 WUR720937 ID720938 RZ720938 ABV720938 ALR720938 AVN720938 BFJ720938 BPF720938 BZB720938 CIX720938 CST720938 DCP720938 DML720938 DWH720938 EGD720938 EPZ720938 EZV720938 FJR720938 FTN720938 GDJ720938 GNF720938 GXB720938 HGX720938 HQT720938 IAP720938 IKL720938 IUH720938 JED720938 JNZ720938 JXV720938 KHR720938 KRN720938 LBJ720938 LLF720938 LVB720938 MEX720938 MOT720938 MYP720938 NIL720938 NSH720938 OCD720938 OLZ720938 OVV720938 PFR720938 PPN720938 PZJ720938 QJF720938 QTB720938 RCX720938 RMT720938 RWP720938 SGL720938 SQH720938 TAD720938 TJZ720938 TTV720938 UDR720938 UNN720938 UXJ720938 VHF720938 VRB720938 WAX720938 WKT720938 WUP720938 I786472:J786472 IC786472:ID786472 RY786472:RZ786472 ABU786472:ABV786472 ALQ786472:ALR786472 AVM786472:AVN786472 BFI786472:BFJ786472 BPE786472:BPF786472 BZA786472:BZB786472 CIW786472:CIX786472 CSS786472:CST786472 DCO786472:DCP786472 DMK786472:DML786472 DWG786472:DWH786472 EGC786472:EGD786472 EPY786472:EPZ786472 EZU786472:EZV786472 FJQ786472:FJR786472 FTM786472:FTN786472 GDI786472:GDJ786472 GNE786472:GNF786472 GXA786472:GXB786472 HGW786472:HGX786472 HQS786472:HQT786472 IAO786472:IAP786472 IKK786472:IKL786472 IUG786472:IUH786472 JEC786472:JED786472 JNY786472:JNZ786472 JXU786472:JXV786472 KHQ786472:KHR786472 KRM786472:KRN786472 LBI786472:LBJ786472 LLE786472:LLF786472 LVA786472:LVB786472 MEW786472:MEX786472 MOS786472:MOT786472 MYO786472:MYP786472 NIK786472:NIL786472 NSG786472:NSH786472 OCC786472:OCD786472 OLY786472:OLZ786472 OVU786472:OVV786472 PFQ786472:PFR786472 PPM786472:PPN786472 PZI786472:PZJ786472 QJE786472:QJF786472 QTA786472:QTB786472 RCW786472:RCX786472 RMS786472:RMT786472 RWO786472:RWP786472 SGK786472:SGL786472 SQG786472:SQH786472 TAC786472:TAD786472 TJY786472:TJZ786472 TTU786472:TTV786472 UDQ786472:UDR786472 UNM786472:UNN786472 UXI786472:UXJ786472 VHE786472:VHF786472 VRA786472:VRB786472 WAW786472:WAX786472 WKS786472:WKT786472 WUO786472:WUP786472 IF786473 SB786473 ABX786473 ALT786473 AVP786473 BFL786473 BPH786473 BZD786473 CIZ786473 CSV786473 DCR786473 DMN786473 DWJ786473 EGF786473 EQB786473 EZX786473 FJT786473 FTP786473 GDL786473 GNH786473 GXD786473 HGZ786473 HQV786473 IAR786473 IKN786473 IUJ786473 JEF786473 JOB786473 JXX786473 KHT786473 KRP786473 LBL786473 LLH786473 LVD786473 MEZ786473 MOV786473 MYR786473 NIN786473 NSJ786473 OCF786473 OMB786473 OVX786473 PFT786473 PPP786473 PZL786473 QJH786473 QTD786473 RCZ786473 RMV786473 RWR786473 SGN786473 SQJ786473 TAF786473 TKB786473 TTX786473 UDT786473 UNP786473 UXL786473 VHH786473 VRD786473 WAZ786473 WKV786473 WUR786473 ID786474 RZ786474 ABV786474 ALR786474 AVN786474 BFJ786474 BPF786474 BZB786474 CIX786474 CST786474 DCP786474 DML786474 DWH786474 EGD786474 EPZ786474 EZV786474 FJR786474 FTN786474 GDJ786474 GNF786474 GXB786474 HGX786474 HQT786474 IAP786474 IKL786474 IUH786474 JED786474 JNZ786474 JXV786474 KHR786474 KRN786474 LBJ786474 LLF786474 LVB786474 MEX786474 MOT786474 MYP786474 NIL786474 NSH786474 OCD786474 OLZ786474 OVV786474 PFR786474 PPN786474 PZJ786474 QJF786474 QTB786474 RCX786474 RMT786474 RWP786474 SGL786474 SQH786474 TAD786474 TJZ786474 TTV786474 UDR786474 UNN786474 UXJ786474 VHF786474 VRB786474 WAX786474 WKT786474 WUP786474 I852008:J852008 IC852008:ID852008 RY852008:RZ852008 ABU852008:ABV852008 ALQ852008:ALR852008 AVM852008:AVN852008 BFI852008:BFJ852008 BPE852008:BPF852008 BZA852008:BZB852008 CIW852008:CIX852008 CSS852008:CST852008 DCO852008:DCP852008 DMK852008:DML852008 DWG852008:DWH852008 EGC852008:EGD852008 EPY852008:EPZ852008 EZU852008:EZV852008 FJQ852008:FJR852008 FTM852008:FTN852008 GDI852008:GDJ852008 GNE852008:GNF852008 GXA852008:GXB852008 HGW852008:HGX852008 HQS852008:HQT852008 IAO852008:IAP852008 IKK852008:IKL852008 IUG852008:IUH852008 JEC852008:JED852008 JNY852008:JNZ852008 JXU852008:JXV852008 KHQ852008:KHR852008 KRM852008:KRN852008 LBI852008:LBJ852008 LLE852008:LLF852008 LVA852008:LVB852008 MEW852008:MEX852008 MOS852008:MOT852008 MYO852008:MYP852008 NIK852008:NIL852008 NSG852008:NSH852008 OCC852008:OCD852008 OLY852008:OLZ852008 OVU852008:OVV852008 PFQ852008:PFR852008 PPM852008:PPN852008 PZI852008:PZJ852008 QJE852008:QJF852008 QTA852008:QTB852008 RCW852008:RCX852008 RMS852008:RMT852008 RWO852008:RWP852008 SGK852008:SGL852008 SQG852008:SQH852008 TAC852008:TAD852008 TJY852008:TJZ852008 TTU852008:TTV852008 UDQ852008:UDR852008 UNM852008:UNN852008 UXI852008:UXJ852008 VHE852008:VHF852008 VRA852008:VRB852008 WAW852008:WAX852008 WKS852008:WKT852008 WUO852008:WUP852008 IF852009 SB852009 ABX852009 ALT852009 AVP852009 BFL852009 BPH852009 BZD852009 CIZ852009 CSV852009 DCR852009 DMN852009 DWJ852009 EGF852009 EQB852009 EZX852009 FJT852009 FTP852009 GDL852009 GNH852009 GXD852009 HGZ852009 HQV852009 IAR852009 IKN852009 IUJ852009 JEF852009 JOB852009 JXX852009 KHT852009 KRP852009 LBL852009 LLH852009 LVD852009 MEZ852009 MOV852009 MYR852009 NIN852009 NSJ852009 OCF852009 OMB852009 OVX852009 PFT852009 PPP852009 PZL852009 QJH852009 QTD852009 RCZ852009 RMV852009 RWR852009 SGN852009 SQJ852009 TAF852009 TKB852009 TTX852009 UDT852009 UNP852009 UXL852009 VHH852009 VRD852009 WAZ852009 WKV852009 WUR852009 ID852010 RZ852010 ABV852010 ALR852010 AVN852010 BFJ852010 BPF852010 BZB852010 CIX852010 CST852010 DCP852010 DML852010 DWH852010 EGD852010 EPZ852010 EZV852010 FJR852010 FTN852010 GDJ852010 GNF852010 GXB852010 HGX852010 HQT852010 IAP852010 IKL852010 IUH852010 JED852010 JNZ852010 JXV852010 KHR852010 KRN852010 LBJ852010 LLF852010 LVB852010 MEX852010 MOT852010 MYP852010 NIL852010 NSH852010 OCD852010 OLZ852010 OVV852010 PFR852010 PPN852010 PZJ852010 QJF852010 QTB852010 RCX852010 RMT852010 RWP852010 SGL852010 SQH852010 TAD852010 TJZ852010 TTV852010 UDR852010 UNN852010 UXJ852010 VHF852010 VRB852010 WAX852010 WKT852010 WUP852010 I917544:J917544 IC917544:ID917544 RY917544:RZ917544 ABU917544:ABV917544 ALQ917544:ALR917544 AVM917544:AVN917544 BFI917544:BFJ917544 BPE917544:BPF917544 BZA917544:BZB917544 CIW917544:CIX917544 CSS917544:CST917544 DCO917544:DCP917544 DMK917544:DML917544 DWG917544:DWH917544 EGC917544:EGD917544 EPY917544:EPZ917544 EZU917544:EZV917544 FJQ917544:FJR917544 FTM917544:FTN917544 GDI917544:GDJ917544 GNE917544:GNF917544 GXA917544:GXB917544 HGW917544:HGX917544 HQS917544:HQT917544 IAO917544:IAP917544 IKK917544:IKL917544 IUG917544:IUH917544 JEC917544:JED917544 JNY917544:JNZ917544 JXU917544:JXV917544 KHQ917544:KHR917544 KRM917544:KRN917544 LBI917544:LBJ917544 LLE917544:LLF917544 LVA917544:LVB917544 MEW917544:MEX917544 MOS917544:MOT917544 MYO917544:MYP917544 NIK917544:NIL917544 NSG917544:NSH917544 OCC917544:OCD917544 OLY917544:OLZ917544 OVU917544:OVV917544 PFQ917544:PFR917544 PPM917544:PPN917544 PZI917544:PZJ917544 QJE917544:QJF917544 QTA917544:QTB917544 RCW917544:RCX917544 RMS917544:RMT917544 RWO917544:RWP917544 SGK917544:SGL917544 SQG917544:SQH917544 TAC917544:TAD917544 TJY917544:TJZ917544 TTU917544:TTV917544 UDQ917544:UDR917544 UNM917544:UNN917544 UXI917544:UXJ917544 VHE917544:VHF917544 VRA917544:VRB917544 WAW917544:WAX917544 WKS917544:WKT917544 WUO917544:WUP917544 IF917545 SB917545 ABX917545 ALT917545 AVP917545 BFL917545 BPH917545 BZD917545 CIZ917545 CSV917545 DCR917545 DMN917545 DWJ917545 EGF917545 EQB917545 EZX917545 FJT917545 FTP917545 GDL917545 GNH917545 GXD917545 HGZ917545 HQV917545 IAR917545 IKN917545 IUJ917545 JEF917545 JOB917545 JXX917545 KHT917545 KRP917545 LBL917545 LLH917545 LVD917545 MEZ917545 MOV917545 MYR917545 NIN917545 NSJ917545 OCF917545 OMB917545 OVX917545 PFT917545 PPP917545 PZL917545 QJH917545 QTD917545 RCZ917545 RMV917545 RWR917545 SGN917545 SQJ917545 TAF917545 TKB917545 TTX917545 UDT917545 UNP917545 UXL917545 VHH917545 VRD917545 WAZ917545 WKV917545 WUR917545 ID917546 RZ917546 ABV917546 ALR917546 AVN917546 BFJ917546 BPF917546 BZB917546 CIX917546 CST917546 DCP917546 DML917546 DWH917546 EGD917546 EPZ917546 EZV917546 FJR917546 FTN917546 GDJ917546 GNF917546 GXB917546 HGX917546 HQT917546 IAP917546 IKL917546 IUH917546 JED917546 JNZ917546 JXV917546 KHR917546 KRN917546 LBJ917546 LLF917546 LVB917546 MEX917546 MOT917546 MYP917546 NIL917546 NSH917546 OCD917546 OLZ917546 OVV917546 PFR917546 PPN917546 PZJ917546 QJF917546 QTB917546 RCX917546 RMT917546 RWP917546 SGL917546 SQH917546 TAD917546 TJZ917546 TTV917546 UDR917546 UNN917546 UXJ917546 VHF917546 VRB917546 WAX917546 WKT917546 WUP917546 I983080:J983080 IC983080:ID983080 RY983080:RZ983080 ABU983080:ABV983080 ALQ983080:ALR983080 AVM983080:AVN983080 BFI983080:BFJ983080 BPE983080:BPF983080 BZA983080:BZB983080 CIW983080:CIX983080 CSS983080:CST983080 DCO983080:DCP983080 DMK983080:DML983080 DWG983080:DWH983080 EGC983080:EGD983080 EPY983080:EPZ983080 EZU983080:EZV983080 FJQ983080:FJR983080 FTM983080:FTN983080 GDI983080:GDJ983080 GNE983080:GNF983080 GXA983080:GXB983080 HGW983080:HGX983080 HQS983080:HQT983080 IAO983080:IAP983080 IKK983080:IKL983080 IUG983080:IUH983080 JEC983080:JED983080 JNY983080:JNZ983080 JXU983080:JXV983080 KHQ983080:KHR983080 KRM983080:KRN983080 LBI983080:LBJ983080 LLE983080:LLF983080 LVA983080:LVB983080 MEW983080:MEX983080 MOS983080:MOT983080 MYO983080:MYP983080 NIK983080:NIL983080 NSG983080:NSH983080 OCC983080:OCD983080 OLY983080:OLZ983080 OVU983080:OVV983080 PFQ983080:PFR983080 PPM983080:PPN983080 PZI983080:PZJ983080 QJE983080:QJF983080 QTA983080:QTB983080 RCW983080:RCX983080 RMS983080:RMT983080 RWO983080:RWP983080 SGK983080:SGL983080 SQG983080:SQH983080 TAC983080:TAD983080 TJY983080:TJZ983080 TTU983080:TTV983080 UDQ983080:UDR983080 UNM983080:UNN983080 UXI983080:UXJ983080 VHE983080:VHF983080 VRA983080:VRB983080 WAW983080:WAX983080 WKS983080:WKT983080 WUO983080:WUP983080 IF983081 SB983081 ABX983081 ALT983081 AVP983081 BFL983081 BPH983081 BZD983081 CIZ983081 CSV983081 DCR983081 DMN983081 DWJ983081 EGF983081 EQB983081 EZX983081 FJT983081 FTP983081 GDL983081 GNH983081 GXD983081 HGZ983081 HQV983081 IAR983081 IKN983081 IUJ983081 JEF983081 JOB983081 JXX983081 KHT983081 KRP983081 LBL983081 LLH983081 LVD983081 MEZ983081 MOV983081 MYR983081 NIN983081 NSJ983081 OCF983081 OMB983081 OVX983081 PFT983081 PPP983081 PZL983081 QJH983081 QTD983081 RCZ983081 RMV983081 RWR983081 SGN983081 SQJ983081 TAF983081 TKB983081 TTX983081 UDT983081 UNP983081 UXL983081 VHH983081 VRD983081 WAZ983081 WKV983081 WUR983081 ID983082 RZ983082 ABV983082 ALR983082 AVN983082 BFJ983082 BPF983082 BZB983082 CIX983082 CST983082 DCP983082 DML983082 DWH983082 EGD983082 EPZ983082 EZV983082 FJR983082 FTN983082 GDJ983082 GNF983082 GXB983082 HGX983082 HQT983082 IAP983082 IKL983082 IUH983082 JED983082 JNZ983082 JXV983082 KHR983082 KRN983082 LBJ983082 LLF983082 LVB983082 MEX983082 MOT983082 MYP983082 NIL983082 NSH983082 OCD983082 OLZ983082 OVV983082 PFR983082 PPN983082 PZJ983082 QJF983082 QTB983082 RCX983082 RMT983082 RWP983082 SGL983082 SQH983082 TAD983082 TJZ983082 TTV983082 UDR983082 UNN983082 UXJ983082 VHF983082 VRB983082 WAX983082 WKT983082 WUP983082"/>
  </dataValidations>
  <printOptions horizontalCentered="1"/>
  <pageMargins left="0" right="0.118110236220472" top="0.43307086614173201" bottom="0.511811023622047" header="0.31496062992126" footer="0.31496062992126"/>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B1" sqref="B1:H3"/>
    </sheetView>
  </sheetViews>
  <sheetFormatPr defaultColWidth="9.140625" defaultRowHeight="15"/>
  <cols>
    <col min="1" max="1" width="4.42578125" style="2" customWidth="1"/>
    <col min="2" max="2" width="16.85546875" style="2" customWidth="1"/>
    <col min="3" max="3" width="33.140625" style="2" customWidth="1"/>
    <col min="4" max="4" width="15.140625" style="2" hidden="1" customWidth="1"/>
    <col min="5" max="5" width="6.5703125" style="2" customWidth="1"/>
    <col min="6" max="7" width="9.140625" style="2" customWidth="1"/>
    <col min="8" max="8" width="10.140625" style="2" customWidth="1"/>
    <col min="9" max="9" width="10.85546875" style="2" customWidth="1"/>
    <col min="10" max="10" width="12.42578125" style="2" customWidth="1"/>
    <col min="11" max="16384" width="9.140625" style="2"/>
  </cols>
  <sheetData>
    <row r="1" spans="1:17" ht="15" customHeight="1">
      <c r="A1" s="3"/>
      <c r="B1" s="209"/>
      <c r="C1" s="209"/>
      <c r="D1" s="209"/>
      <c r="E1" s="209"/>
      <c r="F1" s="209"/>
      <c r="G1" s="209"/>
      <c r="H1" s="209"/>
      <c r="I1" s="203" t="s">
        <v>45</v>
      </c>
      <c r="J1" s="203"/>
    </row>
    <row r="2" spans="1:17" ht="10.5" customHeight="1">
      <c r="A2" s="3"/>
      <c r="B2" s="209"/>
      <c r="C2" s="209"/>
      <c r="D2" s="209"/>
      <c r="E2" s="209"/>
      <c r="F2" s="209"/>
      <c r="G2" s="209"/>
      <c r="H2" s="209"/>
      <c r="I2" s="204" t="s">
        <v>46</v>
      </c>
      <c r="J2" s="205"/>
    </row>
    <row r="3" spans="1:17" ht="13.5" customHeight="1">
      <c r="A3" s="3"/>
      <c r="B3" s="209"/>
      <c r="C3" s="209"/>
      <c r="D3" s="209"/>
      <c r="E3" s="209"/>
      <c r="F3" s="209"/>
      <c r="G3" s="209"/>
      <c r="H3" s="209"/>
    </row>
    <row r="4" spans="1:17" ht="9.75" customHeight="1">
      <c r="A4" s="210" t="s">
        <v>47</v>
      </c>
      <c r="B4" s="210"/>
      <c r="C4" s="210"/>
      <c r="D4" s="210"/>
      <c r="E4" s="210"/>
      <c r="F4" s="210"/>
      <c r="G4" s="210"/>
      <c r="H4" s="210"/>
      <c r="I4" s="210"/>
      <c r="J4" s="210"/>
    </row>
    <row r="5" spans="1:17" ht="12" customHeight="1">
      <c r="A5" s="210"/>
      <c r="B5" s="210"/>
      <c r="C5" s="210"/>
      <c r="D5" s="210"/>
      <c r="E5" s="210"/>
      <c r="F5" s="210"/>
      <c r="G5" s="210"/>
      <c r="H5" s="210"/>
      <c r="I5" s="210"/>
      <c r="J5" s="210"/>
    </row>
    <row r="6" spans="1:17" ht="15.75" customHeight="1">
      <c r="A6" s="206" t="s">
        <v>48</v>
      </c>
      <c r="B6" s="206"/>
      <c r="C6" s="206"/>
      <c r="D6" s="206"/>
      <c r="E6" s="206"/>
      <c r="F6" s="206"/>
      <c r="G6" s="206"/>
      <c r="H6" s="206"/>
      <c r="I6" s="206"/>
      <c r="J6" s="206"/>
    </row>
    <row r="7" spans="1:17" ht="11.25" customHeight="1">
      <c r="A7" s="207" t="s">
        <v>49</v>
      </c>
      <c r="B7" s="207"/>
      <c r="C7" s="207"/>
      <c r="D7" s="207"/>
      <c r="E7" s="207"/>
      <c r="F7" s="207"/>
      <c r="G7" s="207"/>
      <c r="H7" s="207"/>
      <c r="I7" s="207"/>
      <c r="J7" s="207"/>
    </row>
    <row r="8" spans="1:17" ht="15" customHeight="1">
      <c r="A8" s="208" t="s">
        <v>50</v>
      </c>
      <c r="B8" s="208"/>
      <c r="C8" s="208"/>
      <c r="D8" s="208"/>
      <c r="E8" s="208"/>
      <c r="F8" s="208"/>
      <c r="G8" s="208"/>
      <c r="H8" s="208"/>
      <c r="I8" s="208"/>
      <c r="J8" s="208"/>
    </row>
    <row r="9" spans="1:17" ht="29.25" hidden="1" customHeight="1">
      <c r="A9" s="3" t="s">
        <v>51</v>
      </c>
      <c r="B9" s="3"/>
      <c r="C9" s="3" t="s">
        <v>52</v>
      </c>
      <c r="D9" s="3"/>
      <c r="E9" s="3"/>
      <c r="F9" s="3"/>
      <c r="G9" s="3"/>
      <c r="H9" s="3"/>
      <c r="I9" s="3"/>
    </row>
    <row r="10" spans="1:17" ht="15.75" customHeight="1">
      <c r="A10" s="193" t="s">
        <v>53</v>
      </c>
      <c r="B10" s="193"/>
      <c r="C10" s="193"/>
      <c r="D10" s="3"/>
      <c r="E10" s="193" t="s">
        <v>54</v>
      </c>
      <c r="F10" s="193"/>
      <c r="G10" s="193"/>
      <c r="H10" s="193"/>
      <c r="I10" s="193"/>
      <c r="J10" s="193"/>
    </row>
    <row r="11" spans="1:17" s="1" customFormat="1" ht="18.75" customHeight="1">
      <c r="A11" s="199" t="s">
        <v>14</v>
      </c>
      <c r="B11" s="199" t="s">
        <v>55</v>
      </c>
      <c r="C11" s="201" t="s">
        <v>56</v>
      </c>
      <c r="D11" s="4" t="s">
        <v>57</v>
      </c>
      <c r="E11" s="199" t="s">
        <v>58</v>
      </c>
      <c r="F11" s="194" t="s">
        <v>59</v>
      </c>
      <c r="G11" s="195"/>
      <c r="H11" s="196"/>
      <c r="I11" s="201" t="s">
        <v>60</v>
      </c>
      <c r="J11" s="201" t="s">
        <v>61</v>
      </c>
      <c r="K11" s="2"/>
      <c r="L11" s="2"/>
      <c r="M11" s="2"/>
      <c r="N11" s="2"/>
      <c r="O11" s="2"/>
      <c r="P11" s="2"/>
      <c r="Q11" s="2"/>
    </row>
    <row r="12" spans="1:17" s="1" customFormat="1" ht="27" customHeight="1">
      <c r="A12" s="200"/>
      <c r="B12" s="200"/>
      <c r="C12" s="200"/>
      <c r="D12" s="4"/>
      <c r="E12" s="200"/>
      <c r="F12" s="11" t="s">
        <v>62</v>
      </c>
      <c r="G12" s="11" t="s">
        <v>63</v>
      </c>
      <c r="H12" s="11" t="s">
        <v>64</v>
      </c>
      <c r="I12" s="202"/>
      <c r="J12" s="202"/>
      <c r="K12" s="2"/>
      <c r="L12" s="2"/>
      <c r="M12" s="2"/>
      <c r="N12" s="2"/>
      <c r="O12" s="2"/>
      <c r="P12" s="2"/>
      <c r="Q12" s="2"/>
    </row>
    <row r="13" spans="1:17" ht="19.5" customHeight="1">
      <c r="A13" s="5">
        <v>1</v>
      </c>
      <c r="B13" s="6"/>
      <c r="C13" s="6"/>
      <c r="D13" s="6"/>
      <c r="E13" s="6"/>
      <c r="F13" s="5"/>
      <c r="G13" s="5"/>
      <c r="H13" s="5"/>
      <c r="I13" s="5"/>
      <c r="J13" s="6"/>
    </row>
    <row r="14" spans="1:17" ht="19.5" customHeight="1">
      <c r="A14" s="68" t="s">
        <v>65</v>
      </c>
      <c r="B14" s="6"/>
      <c r="C14" s="6"/>
      <c r="D14" s="6"/>
      <c r="E14" s="6"/>
      <c r="F14" s="5"/>
      <c r="G14" s="5"/>
      <c r="H14" s="5"/>
      <c r="I14" s="5"/>
      <c r="J14" s="6"/>
    </row>
    <row r="15" spans="1:17" ht="19.5" customHeight="1">
      <c r="A15" s="5">
        <v>3</v>
      </c>
      <c r="B15" s="6"/>
      <c r="C15" s="6"/>
      <c r="D15" s="6"/>
      <c r="E15" s="6"/>
      <c r="F15" s="5"/>
      <c r="G15" s="5"/>
      <c r="H15" s="5"/>
      <c r="I15" s="5"/>
      <c r="J15" s="6"/>
    </row>
    <row r="16" spans="1:17" ht="19.5" customHeight="1">
      <c r="A16" s="5">
        <v>4</v>
      </c>
      <c r="B16" s="6"/>
      <c r="C16" s="6"/>
      <c r="D16" s="6"/>
      <c r="E16" s="6"/>
      <c r="F16" s="5"/>
      <c r="G16" s="5"/>
      <c r="H16" s="5"/>
      <c r="I16" s="5"/>
      <c r="J16" s="6"/>
    </row>
    <row r="17" spans="1:17" ht="19.5" customHeight="1">
      <c r="A17" s="5">
        <v>5</v>
      </c>
      <c r="B17" s="6"/>
      <c r="C17" s="6"/>
      <c r="D17" s="6"/>
      <c r="E17" s="6"/>
      <c r="F17" s="5"/>
      <c r="G17" s="5"/>
      <c r="H17" s="5"/>
      <c r="I17" s="5"/>
      <c r="J17" s="6"/>
    </row>
    <row r="18" spans="1:17" ht="19.5" customHeight="1">
      <c r="A18" s="5">
        <v>6</v>
      </c>
      <c r="B18" s="6"/>
      <c r="C18" s="6"/>
      <c r="D18" s="6"/>
      <c r="E18" s="6"/>
      <c r="F18" s="5"/>
      <c r="G18" s="5"/>
      <c r="H18" s="5"/>
      <c r="I18" s="5"/>
      <c r="J18" s="6"/>
    </row>
    <row r="19" spans="1:17" ht="19.5" customHeight="1">
      <c r="A19" s="5">
        <v>7</v>
      </c>
      <c r="B19" s="6"/>
      <c r="C19" s="6"/>
      <c r="D19" s="6"/>
      <c r="E19" s="6"/>
      <c r="F19" s="5"/>
      <c r="G19" s="5"/>
      <c r="H19" s="5"/>
      <c r="I19" s="5"/>
      <c r="J19" s="6"/>
    </row>
    <row r="20" spans="1:17" ht="19.5" customHeight="1">
      <c r="A20" s="5">
        <v>8</v>
      </c>
      <c r="B20" s="6"/>
      <c r="C20" s="6"/>
      <c r="D20" s="6"/>
      <c r="E20" s="6"/>
      <c r="F20" s="5"/>
      <c r="G20" s="5"/>
      <c r="H20" s="5"/>
      <c r="I20" s="5"/>
      <c r="J20" s="6"/>
    </row>
    <row r="21" spans="1:17" ht="19.5" customHeight="1">
      <c r="A21" s="5">
        <v>9</v>
      </c>
      <c r="B21" s="6"/>
      <c r="C21" s="6"/>
      <c r="D21" s="6"/>
      <c r="E21" s="6"/>
      <c r="F21" s="5"/>
      <c r="G21" s="5"/>
      <c r="H21" s="5"/>
      <c r="I21" s="5"/>
      <c r="J21" s="6"/>
    </row>
    <row r="22" spans="1:17" ht="19.5" customHeight="1">
      <c r="A22" s="5">
        <v>10</v>
      </c>
      <c r="B22" s="6"/>
      <c r="C22" s="6"/>
      <c r="D22" s="6"/>
      <c r="E22" s="6"/>
      <c r="F22" s="5"/>
      <c r="G22" s="5"/>
      <c r="H22" s="5"/>
      <c r="I22" s="5"/>
      <c r="J22" s="6"/>
      <c r="K22" s="10"/>
      <c r="L22" s="10"/>
      <c r="M22" s="10"/>
      <c r="N22" s="10"/>
      <c r="O22" s="10"/>
      <c r="P22" s="10"/>
      <c r="Q22" s="10"/>
    </row>
    <row r="23" spans="1:17" ht="19.5" customHeight="1">
      <c r="A23" s="5">
        <v>11</v>
      </c>
      <c r="B23" s="6"/>
      <c r="C23" s="6"/>
      <c r="D23" s="6"/>
      <c r="E23" s="6"/>
      <c r="F23" s="5"/>
      <c r="G23" s="5"/>
      <c r="H23" s="5"/>
      <c r="I23" s="5"/>
      <c r="J23" s="6"/>
      <c r="K23" s="10"/>
      <c r="L23" s="10"/>
      <c r="M23" s="10"/>
      <c r="N23" s="10"/>
      <c r="O23" s="10"/>
      <c r="P23" s="10"/>
      <c r="Q23" s="10"/>
    </row>
    <row r="24" spans="1:17" ht="19.5" customHeight="1">
      <c r="A24" s="5">
        <v>12</v>
      </c>
      <c r="B24" s="6"/>
      <c r="C24" s="6"/>
      <c r="D24" s="6"/>
      <c r="E24" s="6"/>
      <c r="F24" s="5"/>
      <c r="G24" s="5"/>
      <c r="H24" s="5"/>
      <c r="I24" s="5"/>
      <c r="J24" s="6"/>
      <c r="K24" s="10"/>
      <c r="L24" s="10"/>
      <c r="M24" s="10"/>
      <c r="N24" s="10"/>
      <c r="O24" s="10"/>
      <c r="P24" s="10"/>
      <c r="Q24" s="10"/>
    </row>
    <row r="25" spans="1:17" ht="7.5" customHeight="1"/>
    <row r="26" spans="1:17">
      <c r="A26" s="197" t="s">
        <v>66</v>
      </c>
      <c r="B26" s="197"/>
      <c r="C26" s="8" t="s">
        <v>67</v>
      </c>
      <c r="D26" s="9"/>
      <c r="E26" s="198" t="s">
        <v>68</v>
      </c>
      <c r="F26" s="198"/>
      <c r="G26" s="8"/>
      <c r="H26" s="198" t="s">
        <v>69</v>
      </c>
      <c r="I26" s="198"/>
      <c r="J26" s="198"/>
    </row>
    <row r="27" spans="1:17">
      <c r="A27" s="9"/>
      <c r="B27" s="9"/>
      <c r="C27" s="9"/>
      <c r="D27" s="9"/>
      <c r="E27" s="9"/>
      <c r="F27" s="9"/>
      <c r="G27" s="9"/>
      <c r="H27" s="9"/>
      <c r="I27" s="9"/>
      <c r="J27" s="9"/>
    </row>
    <row r="28" spans="1:17" ht="53.25" customHeight="1">
      <c r="A28" s="9"/>
      <c r="B28" s="9"/>
      <c r="C28" s="9"/>
      <c r="D28" s="9"/>
      <c r="E28" s="9"/>
      <c r="F28" s="9"/>
      <c r="G28" s="9"/>
      <c r="H28" s="9"/>
      <c r="I28" s="9"/>
      <c r="J28" s="9"/>
    </row>
    <row r="30" spans="1:17" ht="18" customHeight="1"/>
    <row r="31" spans="1:17" ht="18" customHeight="1"/>
    <row r="32" spans="1:17" ht="18" customHeight="1"/>
  </sheetData>
  <mergeCells count="19">
    <mergeCell ref="I1:J1"/>
    <mergeCell ref="I2:J2"/>
    <mergeCell ref="A6:J6"/>
    <mergeCell ref="A7:J7"/>
    <mergeCell ref="A8:J8"/>
    <mergeCell ref="B1:H3"/>
    <mergeCell ref="A4:J5"/>
    <mergeCell ref="A10:C10"/>
    <mergeCell ref="E10:J10"/>
    <mergeCell ref="F11:H11"/>
    <mergeCell ref="A26:B26"/>
    <mergeCell ref="E26:F26"/>
    <mergeCell ref="H26:J26"/>
    <mergeCell ref="A11:A12"/>
    <mergeCell ref="B11:B12"/>
    <mergeCell ref="C11:C12"/>
    <mergeCell ref="E11:E12"/>
    <mergeCell ref="I11:I12"/>
    <mergeCell ref="J11:J12"/>
  </mergeCells>
  <printOptions horizontalCentered="1"/>
  <pageMargins left="0" right="0" top="0.5" bottom="0.31" header="0.3" footer="0.3"/>
  <pageSetup paperSize="11" scale="8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
  <sheetViews>
    <sheetView workbookViewId="0">
      <selection activeCell="B1" sqref="B1:G3"/>
    </sheetView>
  </sheetViews>
  <sheetFormatPr defaultColWidth="9.140625" defaultRowHeight="15"/>
  <cols>
    <col min="1" max="1" width="4.42578125" style="2" customWidth="1"/>
    <col min="2" max="3" width="16.85546875" style="2" customWidth="1"/>
    <col min="4" max="4" width="33.140625" style="2" customWidth="1"/>
    <col min="5" max="5" width="15.140625" style="2" hidden="1" customWidth="1"/>
    <col min="6" max="6" width="6.5703125" style="2" customWidth="1"/>
    <col min="7" max="7" width="13.42578125" style="2" customWidth="1"/>
    <col min="8" max="8" width="13" style="2" customWidth="1"/>
    <col min="9" max="9" width="12.42578125" style="2" customWidth="1"/>
    <col min="10" max="16384" width="9.140625" style="2"/>
  </cols>
  <sheetData>
    <row r="1" spans="1:16" ht="15" customHeight="1">
      <c r="A1" s="3"/>
      <c r="B1" s="209"/>
      <c r="C1" s="209"/>
      <c r="D1" s="209"/>
      <c r="E1" s="209"/>
      <c r="F1" s="209"/>
      <c r="G1" s="209"/>
      <c r="H1" s="203" t="s">
        <v>45</v>
      </c>
      <c r="I1" s="203"/>
    </row>
    <row r="2" spans="1:16" ht="10.5" customHeight="1">
      <c r="A2" s="3"/>
      <c r="B2" s="209"/>
      <c r="C2" s="209"/>
      <c r="D2" s="209"/>
      <c r="E2" s="209"/>
      <c r="F2" s="209"/>
      <c r="G2" s="209"/>
      <c r="H2" s="204" t="s">
        <v>46</v>
      </c>
      <c r="I2" s="205"/>
    </row>
    <row r="3" spans="1:16" ht="13.5" customHeight="1">
      <c r="A3" s="3"/>
      <c r="B3" s="209"/>
      <c r="C3" s="209"/>
      <c r="D3" s="209"/>
      <c r="E3" s="209"/>
      <c r="F3" s="209"/>
      <c r="G3" s="209"/>
    </row>
    <row r="4" spans="1:16" ht="9.75" customHeight="1">
      <c r="A4" s="210" t="s">
        <v>70</v>
      </c>
      <c r="B4" s="210"/>
      <c r="C4" s="210"/>
      <c r="D4" s="210"/>
      <c r="E4" s="210"/>
      <c r="F4" s="210"/>
      <c r="G4" s="210"/>
      <c r="H4" s="210"/>
      <c r="I4" s="210"/>
    </row>
    <row r="5" spans="1:16" ht="12" customHeight="1">
      <c r="A5" s="210"/>
      <c r="B5" s="210"/>
      <c r="C5" s="210"/>
      <c r="D5" s="210"/>
      <c r="E5" s="210"/>
      <c r="F5" s="210"/>
      <c r="G5" s="210"/>
      <c r="H5" s="210"/>
      <c r="I5" s="210"/>
    </row>
    <row r="6" spans="1:16" ht="15.75" customHeight="1">
      <c r="A6" s="206" t="s">
        <v>48</v>
      </c>
      <c r="B6" s="206"/>
      <c r="C6" s="206"/>
      <c r="D6" s="206"/>
      <c r="E6" s="206"/>
      <c r="F6" s="206"/>
      <c r="G6" s="206"/>
      <c r="H6" s="206"/>
      <c r="I6" s="206"/>
    </row>
    <row r="7" spans="1:16" ht="11.25" customHeight="1">
      <c r="A7" s="207" t="s">
        <v>49</v>
      </c>
      <c r="B7" s="207"/>
      <c r="C7" s="207"/>
      <c r="D7" s="207"/>
      <c r="E7" s="207"/>
      <c r="F7" s="207"/>
      <c r="G7" s="207"/>
      <c r="H7" s="207"/>
      <c r="I7" s="207"/>
    </row>
    <row r="8" spans="1:16" ht="15" customHeight="1">
      <c r="A8" s="208" t="s">
        <v>50</v>
      </c>
      <c r="B8" s="208"/>
      <c r="C8" s="208"/>
      <c r="D8" s="208"/>
      <c r="E8" s="208"/>
      <c r="F8" s="208"/>
      <c r="G8" s="208"/>
      <c r="H8" s="208"/>
      <c r="I8" s="208"/>
    </row>
    <row r="9" spans="1:16" ht="29.25" hidden="1" customHeight="1">
      <c r="A9" s="3" t="s">
        <v>51</v>
      </c>
      <c r="B9" s="3"/>
      <c r="C9" s="3"/>
      <c r="D9" s="3" t="s">
        <v>52</v>
      </c>
      <c r="E9" s="3"/>
      <c r="F9" s="3"/>
      <c r="G9" s="3"/>
      <c r="H9" s="3"/>
    </row>
    <row r="10" spans="1:16" ht="15.75" customHeight="1">
      <c r="A10" s="193" t="s">
        <v>53</v>
      </c>
      <c r="B10" s="193"/>
      <c r="C10" s="193"/>
      <c r="D10" s="193"/>
      <c r="E10" s="3"/>
      <c r="F10" s="193" t="s">
        <v>54</v>
      </c>
      <c r="G10" s="193"/>
      <c r="H10" s="193"/>
      <c r="I10" s="193"/>
    </row>
    <row r="11" spans="1:16" s="1" customFormat="1" ht="18.75" customHeight="1">
      <c r="A11" s="199" t="s">
        <v>14</v>
      </c>
      <c r="B11" s="199" t="s">
        <v>71</v>
      </c>
      <c r="C11" s="199" t="s">
        <v>72</v>
      </c>
      <c r="D11" s="201" t="s">
        <v>56</v>
      </c>
      <c r="E11" s="4" t="s">
        <v>57</v>
      </c>
      <c r="F11" s="199" t="s">
        <v>58</v>
      </c>
      <c r="G11" s="201" t="s">
        <v>59</v>
      </c>
      <c r="H11" s="201" t="s">
        <v>60</v>
      </c>
      <c r="I11" s="201" t="s">
        <v>61</v>
      </c>
      <c r="J11" s="2"/>
      <c r="K11" s="2"/>
      <c r="L11" s="2"/>
      <c r="M11" s="2"/>
      <c r="N11" s="2"/>
      <c r="O11" s="2"/>
      <c r="P11" s="2"/>
    </row>
    <row r="12" spans="1:16" s="1" customFormat="1" ht="27" customHeight="1">
      <c r="A12" s="200"/>
      <c r="B12" s="200"/>
      <c r="C12" s="200"/>
      <c r="D12" s="200"/>
      <c r="E12" s="4"/>
      <c r="F12" s="200"/>
      <c r="G12" s="202"/>
      <c r="H12" s="202"/>
      <c r="I12" s="202"/>
      <c r="J12" s="2"/>
      <c r="K12" s="2"/>
      <c r="L12" s="2"/>
      <c r="M12" s="2"/>
      <c r="N12" s="2"/>
      <c r="O12" s="2"/>
      <c r="P12" s="2"/>
    </row>
    <row r="13" spans="1:16" ht="19.5" customHeight="1">
      <c r="A13" s="5">
        <v>1</v>
      </c>
      <c r="B13" s="6"/>
      <c r="C13" s="6"/>
      <c r="D13" s="6"/>
      <c r="E13" s="6"/>
      <c r="F13" s="6"/>
      <c r="G13" s="5"/>
      <c r="H13" s="5"/>
      <c r="I13" s="6"/>
    </row>
    <row r="14" spans="1:16" ht="19.5" customHeight="1">
      <c r="A14" s="68" t="s">
        <v>65</v>
      </c>
      <c r="B14" s="6"/>
      <c r="C14" s="6"/>
      <c r="D14" s="6"/>
      <c r="E14" s="6"/>
      <c r="F14" s="6"/>
      <c r="G14" s="5"/>
      <c r="H14" s="5"/>
      <c r="I14" s="6"/>
    </row>
    <row r="15" spans="1:16" ht="19.5" customHeight="1">
      <c r="A15" s="5">
        <v>3</v>
      </c>
      <c r="B15" s="6"/>
      <c r="C15" s="6"/>
      <c r="D15" s="6"/>
      <c r="E15" s="6"/>
      <c r="F15" s="6"/>
      <c r="G15" s="5"/>
      <c r="H15" s="5"/>
      <c r="I15" s="6"/>
    </row>
    <row r="16" spans="1:16" ht="19.5" customHeight="1">
      <c r="A16" s="5">
        <v>4</v>
      </c>
      <c r="B16" s="6"/>
      <c r="C16" s="6"/>
      <c r="D16" s="6"/>
      <c r="E16" s="6"/>
      <c r="F16" s="6"/>
      <c r="G16" s="5"/>
      <c r="H16" s="5"/>
      <c r="I16" s="6"/>
    </row>
    <row r="17" spans="1:16" ht="19.5" customHeight="1">
      <c r="A17" s="5">
        <v>5</v>
      </c>
      <c r="B17" s="6"/>
      <c r="C17" s="6"/>
      <c r="D17" s="6"/>
      <c r="E17" s="6"/>
      <c r="F17" s="6"/>
      <c r="G17" s="5"/>
      <c r="H17" s="5"/>
      <c r="I17" s="6"/>
    </row>
    <row r="18" spans="1:16" ht="19.5" customHeight="1">
      <c r="A18" s="5">
        <v>6</v>
      </c>
      <c r="B18" s="6"/>
      <c r="C18" s="6"/>
      <c r="D18" s="6"/>
      <c r="E18" s="6"/>
      <c r="F18" s="6"/>
      <c r="G18" s="5"/>
      <c r="H18" s="5"/>
      <c r="I18" s="6"/>
    </row>
    <row r="19" spans="1:16" ht="19.5" customHeight="1">
      <c r="A19" s="5">
        <v>7</v>
      </c>
      <c r="B19" s="6"/>
      <c r="C19" s="6"/>
      <c r="D19" s="6"/>
      <c r="E19" s="6"/>
      <c r="F19" s="6"/>
      <c r="G19" s="5"/>
      <c r="H19" s="5"/>
      <c r="I19" s="6"/>
    </row>
    <row r="20" spans="1:16" ht="19.5" customHeight="1">
      <c r="A20" s="5">
        <v>8</v>
      </c>
      <c r="B20" s="6"/>
      <c r="C20" s="6"/>
      <c r="D20" s="6"/>
      <c r="E20" s="6"/>
      <c r="F20" s="6"/>
      <c r="G20" s="5"/>
      <c r="H20" s="5"/>
      <c r="I20" s="6"/>
    </row>
    <row r="21" spans="1:16" ht="19.5" customHeight="1">
      <c r="A21" s="5">
        <v>9</v>
      </c>
      <c r="B21" s="6"/>
      <c r="C21" s="6"/>
      <c r="D21" s="6"/>
      <c r="E21" s="6"/>
      <c r="F21" s="6"/>
      <c r="G21" s="5"/>
      <c r="H21" s="5"/>
      <c r="I21" s="6"/>
    </row>
    <row r="22" spans="1:16" ht="19.5" customHeight="1">
      <c r="A22" s="5">
        <v>10</v>
      </c>
      <c r="B22" s="6"/>
      <c r="C22" s="6"/>
      <c r="D22" s="6"/>
      <c r="E22" s="6"/>
      <c r="F22" s="6"/>
      <c r="G22" s="5"/>
      <c r="H22" s="5"/>
      <c r="I22" s="6"/>
      <c r="J22" s="10"/>
      <c r="K22" s="10"/>
      <c r="L22" s="10"/>
      <c r="M22" s="10"/>
      <c r="N22" s="10"/>
      <c r="O22" s="10"/>
      <c r="P22" s="10"/>
    </row>
    <row r="23" spans="1:16" ht="19.5" customHeight="1">
      <c r="A23" s="5">
        <v>11</v>
      </c>
      <c r="B23" s="6"/>
      <c r="C23" s="6"/>
      <c r="D23" s="6"/>
      <c r="E23" s="6"/>
      <c r="F23" s="6"/>
      <c r="G23" s="5"/>
      <c r="H23" s="5"/>
      <c r="I23" s="6"/>
      <c r="J23" s="10"/>
      <c r="K23" s="10"/>
      <c r="L23" s="10"/>
      <c r="M23" s="10"/>
      <c r="N23" s="10"/>
      <c r="O23" s="10"/>
      <c r="P23" s="10"/>
    </row>
    <row r="24" spans="1:16" ht="19.5" customHeight="1">
      <c r="A24" s="5">
        <v>12</v>
      </c>
      <c r="B24" s="6"/>
      <c r="C24" s="6"/>
      <c r="D24" s="6"/>
      <c r="E24" s="6"/>
      <c r="F24" s="6"/>
      <c r="G24" s="5"/>
      <c r="H24" s="5"/>
      <c r="I24" s="6"/>
      <c r="J24" s="10"/>
      <c r="K24" s="10"/>
      <c r="L24" s="10"/>
      <c r="M24" s="10"/>
      <c r="N24" s="10"/>
      <c r="O24" s="10"/>
      <c r="P24" s="10"/>
    </row>
    <row r="25" spans="1:16" ht="7.5" customHeight="1"/>
    <row r="26" spans="1:16">
      <c r="A26" s="197" t="s">
        <v>66</v>
      </c>
      <c r="B26" s="197"/>
      <c r="C26" s="7"/>
      <c r="D26" s="8" t="s">
        <v>67</v>
      </c>
      <c r="E26" s="9"/>
      <c r="F26" s="198" t="s">
        <v>68</v>
      </c>
      <c r="G26" s="198"/>
      <c r="H26" s="198"/>
      <c r="I26" s="198"/>
    </row>
    <row r="27" spans="1:16">
      <c r="A27" s="9"/>
      <c r="B27" s="9"/>
      <c r="C27" s="9"/>
      <c r="D27" s="9"/>
      <c r="E27" s="9"/>
      <c r="F27" s="9"/>
      <c r="G27" s="9"/>
      <c r="H27" s="9"/>
      <c r="I27" s="9"/>
    </row>
    <row r="28" spans="1:16" ht="53.25" customHeight="1">
      <c r="A28" s="9"/>
      <c r="B28" s="9"/>
      <c r="C28" s="9"/>
      <c r="D28" s="9"/>
      <c r="E28" s="9"/>
      <c r="F28" s="9"/>
      <c r="G28" s="9"/>
      <c r="H28" s="9"/>
      <c r="I28" s="9"/>
    </row>
    <row r="30" spans="1:16" ht="18" customHeight="1"/>
    <row r="31" spans="1:16" ht="18" customHeight="1"/>
    <row r="32" spans="1:16" ht="18" customHeight="1"/>
  </sheetData>
  <mergeCells count="20">
    <mergeCell ref="H1:I1"/>
    <mergeCell ref="H2:I2"/>
    <mergeCell ref="A6:I6"/>
    <mergeCell ref="A7:I7"/>
    <mergeCell ref="A8:I8"/>
    <mergeCell ref="B1:G3"/>
    <mergeCell ref="A4:I5"/>
    <mergeCell ref="A10:D10"/>
    <mergeCell ref="F10:I10"/>
    <mergeCell ref="A26:B26"/>
    <mergeCell ref="F26:G26"/>
    <mergeCell ref="H26:I26"/>
    <mergeCell ref="A11:A12"/>
    <mergeCell ref="B11:B12"/>
    <mergeCell ref="C11:C12"/>
    <mergeCell ref="D11:D12"/>
    <mergeCell ref="F11:F12"/>
    <mergeCell ref="G11:G12"/>
    <mergeCell ref="H11:H12"/>
    <mergeCell ref="I11:I12"/>
  </mergeCells>
  <printOptions horizontalCentered="1"/>
  <pageMargins left="0" right="0" top="0.5" bottom="0.31" header="0.3" footer="0.3"/>
  <pageSetup paperSize="11" scale="85"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fd80025-6475-4237-a7c6-e7c9a98c6820" xsi:nil="true"/>
    <lcf76f155ced4ddcb4097134ff3c332f xmlns="83f55c39-acef-4460-a735-3f4b57f232e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D6CF4703E1424FA7FF622E3867A041" ma:contentTypeVersion="17" ma:contentTypeDescription="Create a new document." ma:contentTypeScope="" ma:versionID="a1a19a3c86b233fbb1637088f407de6a">
  <xsd:schema xmlns:xsd="http://www.w3.org/2001/XMLSchema" xmlns:xs="http://www.w3.org/2001/XMLSchema" xmlns:p="http://schemas.microsoft.com/office/2006/metadata/properties" xmlns:ns2="83f55c39-acef-4460-a735-3f4b57f232ed" xmlns:ns3="cfd80025-6475-4237-a7c6-e7c9a98c6820" targetNamespace="http://schemas.microsoft.com/office/2006/metadata/properties" ma:root="true" ma:fieldsID="8d2cf3cdd11dbdae62871160d013d4ed" ns2:_="" ns3:_="">
    <xsd:import namespace="83f55c39-acef-4460-a735-3f4b57f232ed"/>
    <xsd:import namespace="cfd80025-6475-4237-a7c6-e7c9a98c682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39-acef-4460-a735-3f4b57f23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d80025-6475-4237-a7c6-e7c9a98c68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7c876ba-79c2-4d30-abb5-79655f061076}" ma:internalName="TaxCatchAll" ma:showField="CatchAllData" ma:web="cfd80025-6475-4237-a7c6-e7c9a98c68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C46927-BBCD-48C6-B9E0-6255011D1DF5}">
  <ds:schemaRefs/>
</ds:datastoreItem>
</file>

<file path=customXml/itemProps2.xml><?xml version="1.0" encoding="utf-8"?>
<ds:datastoreItem xmlns:ds="http://schemas.openxmlformats.org/officeDocument/2006/customXml" ds:itemID="{4F50AD62-02A6-47CE-B69C-E20B907B8464}">
  <ds:schemaRefs/>
</ds:datastoreItem>
</file>

<file path=customXml/itemProps3.xml><?xml version="1.0" encoding="utf-8"?>
<ds:datastoreItem xmlns:ds="http://schemas.openxmlformats.org/officeDocument/2006/customXml" ds:itemID="{444F3955-1C5B-48C1-98E6-53D11E9BFB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ĐỀ NGHỊ VẬT TƯ </vt:lpstr>
      <vt:lpstr>Phiếu nhập kho thành phẩm</vt:lpstr>
      <vt:lpstr>Phiếu nhập kho nhựa xay</vt:lpstr>
      <vt:lpstr>'ĐỀ NGHỊ VẬT TƯ '!Print_Area</vt:lpstr>
      <vt:lpstr>'ĐỀ NGHỊ VẬT TƯ '!Print_Titles</vt:lpstr>
    </vt:vector>
  </TitlesOfParts>
  <Company>minhtuan6990@gmail.com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Thúy Hằng</dc:creator>
  <cp:lastModifiedBy>Administrator</cp:lastModifiedBy>
  <cp:lastPrinted>2025-09-17T02:52:02Z</cp:lastPrinted>
  <dcterms:created xsi:type="dcterms:W3CDTF">2021-03-06T01:30:00Z</dcterms:created>
  <dcterms:modified xsi:type="dcterms:W3CDTF">2025-12-16T07:16:36Z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0x010100AAD6CF4703E1424FA7FF622E3867A041</vt:lpwstr>
  </property>
  <property fmtid="{D5CDD505-2E9C-101B-9397-08002B2CF9AE}" pid="3" name="ICV">
    <vt:lpwstr>DB417C8EB1E641C889A629F636B406A6_12</vt:lpwstr>
  </property>
  <property fmtid="{D5CDD505-2E9C-101B-9397-08002B2CF9AE}" pid="4" name="KSOProductBuildVer">
    <vt:lpwstr>1033-12.2.0.21931</vt:lpwstr>
  </property>
</Properties>
</file>