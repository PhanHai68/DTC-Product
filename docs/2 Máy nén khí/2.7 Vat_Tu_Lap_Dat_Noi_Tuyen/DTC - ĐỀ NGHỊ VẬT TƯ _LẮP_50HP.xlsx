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ACOMP\VẬT_TƯ_LẮP_ĐẶT_MNK\"/>
    </mc:Choice>
  </mc:AlternateContent>
  <bookViews>
    <workbookView xWindow="-120" yWindow="-120" windowWidth="29040" windowHeight="15840"/>
  </bookViews>
  <sheets>
    <sheet name="ĐỀ NGHỊ VẬT TƯ " sheetId="25" r:id="rId1"/>
    <sheet name="Phiếu nhập kho thành phẩm" sheetId="17" state="hidden" r:id="rId2"/>
    <sheet name="Phiếu nhập kho nhựa xay" sheetId="19" state="hidden" r:id="rId3"/>
  </sheets>
  <externalReferences>
    <externalReference r:id="rId4"/>
  </externalReferences>
  <definedNames>
    <definedName name="__DDG589" localSheetId="0">#REF!</definedName>
    <definedName name="__DDG589">#REF!</definedName>
    <definedName name="__KLL866" localSheetId="0">#REF!</definedName>
    <definedName name="__KLL866">#REF!</definedName>
    <definedName name="_DDG589" localSheetId="0">#REF!</definedName>
    <definedName name="_xlnm._FilterDatabase" localSheetId="0" hidden="1">'ĐỀ NGHỊ VẬT TƯ '!#REF!</definedName>
    <definedName name="_KLL866" localSheetId="0">#REF!</definedName>
    <definedName name="_nc304" localSheetId="0">#REF!</definedName>
    <definedName name="_nc304">#REF!</definedName>
    <definedName name="_vt304" localSheetId="0">#REF!</definedName>
    <definedName name="_vt304">#REF!</definedName>
    <definedName name="_vta515" localSheetId="0">#REF!</definedName>
    <definedName name="_vta515">#REF!</definedName>
    <definedName name="a" localSheetId="0">#REF!</definedName>
    <definedName name="a">#REF!</definedName>
    <definedName name="bacdanucfc60" localSheetId="0">#REF!</definedName>
    <definedName name="bacdanucfc60">#REF!</definedName>
    <definedName name="bacdanucfc70" localSheetId="0">#REF!</definedName>
    <definedName name="bacdanucfc70">#REF!</definedName>
    <definedName name="bacdanucfc80" localSheetId="0">#REF!</definedName>
    <definedName name="bacdanucfc80">#REF!</definedName>
    <definedName name="bankinh" localSheetId="0">#REF!</definedName>
    <definedName name="bankinh">#REF!</definedName>
    <definedName name="bichcs" localSheetId="0">#REF!</definedName>
    <definedName name="bichcs">#REF!</definedName>
    <definedName name="bichinox" localSheetId="0">#REF!</definedName>
    <definedName name="bichinox">#REF!</definedName>
    <definedName name="binhkhinen" localSheetId="0">#REF!</definedName>
    <definedName name="binhkhinen">#REF!</definedName>
    <definedName name="chieudai" localSheetId="0">#REF!</definedName>
    <definedName name="chieudai">#REF!</definedName>
    <definedName name="chuvi" localSheetId="0">#REF!</definedName>
    <definedName name="chuvi">#REF!</definedName>
    <definedName name="cs" localSheetId="0">#REF!</definedName>
    <definedName name="cs">#REF!</definedName>
    <definedName name="d">'[1]he so gia'!$D$20</definedName>
    <definedName name="den100w" localSheetId="0">#REF!</definedName>
    <definedName name="den100w">#REF!</definedName>
    <definedName name="dff" localSheetId="0">#REF!</definedName>
    <definedName name="dff">#REF!</definedName>
    <definedName name="DGHJ" localSheetId="0">#REF!</definedName>
    <definedName name="DGHJ">#REF!</definedName>
    <definedName name="DHOIO" localSheetId="0">#REF!</definedName>
    <definedName name="DHOIO">#REF!</definedName>
    <definedName name="djbkfjhnr" localSheetId="0">#REF!</definedName>
    <definedName name="djbkfjhnr">#REF!</definedName>
    <definedName name="djkll9" localSheetId="0">#REF!</definedName>
    <definedName name="djkll9">#REF!</definedName>
    <definedName name="DRR" localSheetId="0">#REF!</definedName>
    <definedName name="DRR">#REF!</definedName>
    <definedName name="ewfgtreage">'[1]he so gia'!$D$3</definedName>
    <definedName name="f6yt" localSheetId="0">#REF!</definedName>
    <definedName name="f6yt">#REF!</definedName>
    <definedName name="gcongbichdn100inox" localSheetId="0">#REF!</definedName>
    <definedName name="gcongbichdn100inox">#REF!</definedName>
    <definedName name="gcongbichdn125inox" localSheetId="0">#REF!</definedName>
    <definedName name="gcongbichdn125inox">#REF!</definedName>
    <definedName name="gcongbichdn150inox" localSheetId="0">#REF!</definedName>
    <definedName name="gcongbichdn150inox">#REF!</definedName>
    <definedName name="gcongbichdn15inox" localSheetId="0">#REF!</definedName>
    <definedName name="gcongbichdn15inox">#REF!</definedName>
    <definedName name="gcongbichdn200inox" localSheetId="0">#REF!</definedName>
    <definedName name="gcongbichdn200inox">#REF!</definedName>
    <definedName name="gcongbichdn25" localSheetId="0">#REF!</definedName>
    <definedName name="gcongbichdn25">#REF!</definedName>
    <definedName name="gcongbichdn25inox" localSheetId="0">#REF!</definedName>
    <definedName name="gcongbichdn25inox">#REF!</definedName>
    <definedName name="gcongbichdn300inox" localSheetId="0">#REF!</definedName>
    <definedName name="gcongbichdn300inox">#REF!</definedName>
    <definedName name="gcongbichdn40inox" localSheetId="0">#REF!</definedName>
    <definedName name="gcongbichdn40inox">#REF!</definedName>
    <definedName name="gcongbichdn50inox" localSheetId="0">#REF!</definedName>
    <definedName name="gcongbichdn50inox">#REF!</definedName>
    <definedName name="gcongbichdn50ss400" localSheetId="0">#REF!</definedName>
    <definedName name="gcongbichdn50ss400">#REF!</definedName>
    <definedName name="gcongbichdn65inox" localSheetId="0">#REF!</definedName>
    <definedName name="gcongbichdn65inox">#REF!</definedName>
    <definedName name="gcongbichdn80inox" localSheetId="0">#REF!</definedName>
    <definedName name="gcongbichdn80inox">#REF!</definedName>
    <definedName name="gcsightglass" localSheetId="0">#REF!</definedName>
    <definedName name="gcsightglass">#REF!</definedName>
    <definedName name="GG" localSheetId="0">#REF!</definedName>
    <definedName name="GG">#REF!</definedName>
    <definedName name="giabacdan" localSheetId="0">#REF!</definedName>
    <definedName name="giabacdan">#REF!</definedName>
    <definedName name="giabdUCFC80" localSheetId="0">#REF!</definedName>
    <definedName name="giabdUCFC80">#REF!</definedName>
    <definedName name="giabtABB11kw" localSheetId="0">#REF!</definedName>
    <definedName name="giabtABB11kw">#REF!</definedName>
    <definedName name="giabtABB18kw" localSheetId="0">#REF!</definedName>
    <definedName name="giabtABB18kw">#REF!</definedName>
    <definedName name="giabtABB22Kw" localSheetId="0">#REF!</definedName>
    <definedName name="giabtABB22Kw">#REF!</definedName>
    <definedName name="giacoupling102inox" localSheetId="0">#REF!</definedName>
    <definedName name="giacoupling102inox">#REF!</definedName>
    <definedName name="giadonghoap10bar" localSheetId="0">#REF!</definedName>
    <definedName name="giadonghoap10bar">#REF!</definedName>
    <definedName name="giagcbdinox" localSheetId="0">#REF!</definedName>
    <definedName name="giagcbdinox">#REF!</definedName>
    <definedName name="giagcbinox" localSheetId="0">#REF!</definedName>
    <definedName name="giagcbinox">#REF!</definedName>
    <definedName name="giagcbinox304" localSheetId="0">#REF!</definedName>
    <definedName name="giagcbinox304">#REF!</definedName>
    <definedName name="giagcblinox" localSheetId="0">#REF!</definedName>
    <definedName name="giagcblinox">#REF!</definedName>
    <definedName name="giagcblss400" localSheetId="0">#REF!</definedName>
    <definedName name="giagcblss400">#REF!</definedName>
    <definedName name="giagcbminox" localSheetId="0">#REF!</definedName>
    <definedName name="giagcbminox">#REF!</definedName>
    <definedName name="giagcbmlinox" localSheetId="0">#REF!</definedName>
    <definedName name="giagcbmlinox">#REF!</definedName>
    <definedName name="giagcbss400" localSheetId="0">#REF!</definedName>
    <definedName name="giagcbss400">#REF!</definedName>
    <definedName name="giagccinox304" localSheetId="0">#REF!</definedName>
    <definedName name="giagccinox304">#REF!</definedName>
    <definedName name="giagccss400" localSheetId="0">#REF!</definedName>
    <definedName name="giagccss400">#REF!</definedName>
    <definedName name="giagcdb" localSheetId="0">#REF!</definedName>
    <definedName name="giagcdb">#REF!</definedName>
    <definedName name="giagclinox" localSheetId="0">#REF!</definedName>
    <definedName name="giagclinox">#REF!</definedName>
    <definedName name="giagcocinox" localSheetId="0">#REF!</definedName>
    <definedName name="giagcocinox">#REF!</definedName>
    <definedName name="giagcson" localSheetId="0">#REF!</definedName>
    <definedName name="giagcson">#REF!</definedName>
    <definedName name="giagctaminox" localSheetId="0">#REF!</definedName>
    <definedName name="giagctaminox">#REF!</definedName>
    <definedName name="giagctamss400" localSheetId="0">#REF!</definedName>
    <definedName name="giagctamss400">#REF!</definedName>
    <definedName name="giagctbinox" localSheetId="0">#REF!</definedName>
    <definedName name="giagctbinox">#REF!</definedName>
    <definedName name="giagctinox" localSheetId="0">#REF!</definedName>
    <definedName name="giagctinox">#REF!</definedName>
    <definedName name="giagctinox304" localSheetId="0">#REF!</definedName>
    <definedName name="giagctinox304">#REF!</definedName>
    <definedName name="giagctrinox" localSheetId="0">#REF!</definedName>
    <definedName name="giagctrinox">#REF!</definedName>
    <definedName name="giagctss400" localSheetId="0">#REF!</definedName>
    <definedName name="giagctss400">#REF!</definedName>
    <definedName name="giahanong1inch" localSheetId="0">#REF!</definedName>
    <definedName name="giahanong1inch">#REF!</definedName>
    <definedName name="giainox304" localSheetId="0">#REF!</definedName>
    <definedName name="giainox304">#REF!</definedName>
    <definedName name="giakinhcuongluc" localSheetId="0">#REF!</definedName>
    <definedName name="giakinhcuongluc">#REF!</definedName>
    <definedName name="giakntr" localSheetId="0">#REF!</definedName>
    <definedName name="giakntr">#REF!</definedName>
    <definedName name="gialaptudien" localSheetId="0">#REF!</definedName>
    <definedName name="gialaptudien">#REF!</definedName>
    <definedName name="gialinox" localSheetId="0">#REF!</definedName>
    <definedName name="gialinox">#REF!</definedName>
    <definedName name="giamanhole450inox" localSheetId="0">#REF!</definedName>
    <definedName name="giamanhole450inox">#REF!</definedName>
    <definedName name="giamotor0.4kw" localSheetId="0">#REF!</definedName>
    <definedName name="giamotor0.4kw">#REF!</definedName>
    <definedName name="giamotor0.75taiwan" localSheetId="0">#REF!</definedName>
    <definedName name="giamotor0.75taiwan">#REF!</definedName>
    <definedName name="giamotor11Kwnord" localSheetId="0">#REF!</definedName>
    <definedName name="giamotor11Kwnord">#REF!</definedName>
    <definedName name="giamotor11kwnord319rpm" localSheetId="0">#REF!</definedName>
    <definedName name="giamotor11kwnord319rpm">#REF!</definedName>
    <definedName name="giamotor18.5kwnord60rpm" localSheetId="0">#REF!</definedName>
    <definedName name="giamotor18.5kwnord60rpm">#REF!</definedName>
    <definedName name="giamotor2.2kwtaiwan" localSheetId="0">#REF!</definedName>
    <definedName name="giamotor2.2kwtaiwan">#REF!</definedName>
    <definedName name="giamotor22Kwnord" localSheetId="0">#REF!</definedName>
    <definedName name="giamotor22Kwnord">#REF!</definedName>
    <definedName name="giaocninox" localSheetId="0">#REF!</definedName>
    <definedName name="giaocninox">#REF!</definedName>
    <definedName name="giaocninox304" localSheetId="0">#REF!</definedName>
    <definedName name="giaocninox304">#REF!</definedName>
    <definedName name="giaocnss400" localSheetId="0">#REF!</definedName>
    <definedName name="giaocnss400">#REF!</definedName>
    <definedName name="giaodcninox" localSheetId="0">#REF!</definedName>
    <definedName name="giaodcninox">#REF!</definedName>
    <definedName name="giass400" localSheetId="0">#REF!</definedName>
    <definedName name="giass400">#REF!</definedName>
    <definedName name="giatehan13inox" localSheetId="0">#REF!</definedName>
    <definedName name="giatehan13inox">#REF!</definedName>
    <definedName name="giathinox" localSheetId="0">#REF!</definedName>
    <definedName name="giathinox">#REF!</definedName>
    <definedName name="giatudien22Kw" localSheetId="0">#REF!</definedName>
    <definedName name="giatudien22Kw">#REF!</definedName>
    <definedName name="giavanantoan4bar" localSheetId="0">#REF!</definedName>
    <definedName name="giavanantoan4bar">#REF!</definedName>
    <definedName name="giavanbi13inox" localSheetId="0">#REF!</definedName>
    <definedName name="giavanbi13inox">#REF!</definedName>
    <definedName name="giavanbi21inox" localSheetId="0">#REF!</definedName>
    <definedName name="giavanbi21inox">#REF!</definedName>
    <definedName name="giavanbi27inox" localSheetId="0">#REF!</definedName>
    <definedName name="giavanbi27inox">#REF!</definedName>
    <definedName name="giavanbi34inox" localSheetId="0">#REF!</definedName>
    <definedName name="giavanbi34inox">#REF!</definedName>
    <definedName name="giavtdb" localSheetId="0">#REF!</definedName>
    <definedName name="giavtdb">#REF!</definedName>
    <definedName name="giavtson" localSheetId="0">#REF!</definedName>
    <definedName name="giavtson">#REF!</definedName>
    <definedName name="giavtsoncchay" localSheetId="0">#REF!</definedName>
    <definedName name="giavtsoncchay">#REF!</definedName>
    <definedName name="gkuyu" localSheetId="0">#REF!</definedName>
    <definedName name="gkuyu">#REF!</definedName>
    <definedName name="glnnc" localSheetId="0">#REF!</definedName>
    <definedName name="glnnc">#REF!</definedName>
    <definedName name="glnvt" localSheetId="0">#REF!</definedName>
    <definedName name="glnvt">#REF!</definedName>
    <definedName name="hjy" localSheetId="0">#REF!</definedName>
    <definedName name="hjy">#REF!</definedName>
    <definedName name="hslnmt" localSheetId="0">#REF!</definedName>
    <definedName name="hslnmt">#REF!</definedName>
    <definedName name="hslnnc" localSheetId="0">#REF!</definedName>
    <definedName name="hslnnc">#REF!</definedName>
    <definedName name="hslnvt" localSheetId="0">#REF!</definedName>
    <definedName name="hslnvt">#REF!</definedName>
    <definedName name="hsvt" localSheetId="0">#REF!</definedName>
    <definedName name="hsvt">#REF!</definedName>
    <definedName name="inox" localSheetId="0">#REF!</definedName>
    <definedName name="inox">#REF!</definedName>
    <definedName name="inox1" localSheetId="0">#REF!</definedName>
    <definedName name="inox1">#REF!</definedName>
    <definedName name="inox316" localSheetId="0">#REF!</definedName>
    <definedName name="inox316">#REF!</definedName>
    <definedName name="JGJK" localSheetId="0">#REF!</definedName>
    <definedName name="JGJK">#REF!</definedName>
    <definedName name="nccs" localSheetId="0">#REF!</definedName>
    <definedName name="nccs">#REF!</definedName>
    <definedName name="ongbichdn100inox" localSheetId="0">#REF!</definedName>
    <definedName name="ongbichdn100inox">#REF!</definedName>
    <definedName name="ongbichdn100ss400" localSheetId="0">#REF!</definedName>
    <definedName name="ongbichdn100ss400">#REF!</definedName>
    <definedName name="ongbichdn125inox" localSheetId="0">#REF!</definedName>
    <definedName name="ongbichdn125inox">#REF!</definedName>
    <definedName name="ongbichdn150inox" localSheetId="0">#REF!</definedName>
    <definedName name="ongbichdn150inox">#REF!</definedName>
    <definedName name="ongbichdn15inox" localSheetId="0">#REF!</definedName>
    <definedName name="ongbichdn15inox">#REF!</definedName>
    <definedName name="ongbichdn200inox" localSheetId="0">#REF!</definedName>
    <definedName name="ongbichdn200inox">#REF!</definedName>
    <definedName name="ongbichdn20inox" localSheetId="0">#REF!</definedName>
    <definedName name="ongbichdn20inox">#REF!</definedName>
    <definedName name="ongbichdn25" localSheetId="0">#REF!</definedName>
    <definedName name="ongbichdn25">#REF!</definedName>
    <definedName name="ongbichdn25inox" localSheetId="0">#REF!</definedName>
    <definedName name="ongbichdn25inox">#REF!</definedName>
    <definedName name="ongbichdn300inox" localSheetId="0">#REF!</definedName>
    <definedName name="ongbichdn300inox">#REF!</definedName>
    <definedName name="ongbichdn40inox" localSheetId="0">#REF!</definedName>
    <definedName name="ongbichdn40inox">#REF!</definedName>
    <definedName name="ongbichdn50inox" localSheetId="0">#REF!</definedName>
    <definedName name="ongbichdn50inox">#REF!</definedName>
    <definedName name="ongbichdn50ss400" localSheetId="0">#REF!</definedName>
    <definedName name="ongbichdn50ss400">#REF!</definedName>
    <definedName name="ongbichdn65inox" localSheetId="0">#REF!</definedName>
    <definedName name="ongbichdn65inox">#REF!</definedName>
    <definedName name="ongbichdn80inox" localSheetId="0">#REF!</definedName>
    <definedName name="ongbichdn80inox">#REF!</definedName>
    <definedName name="ongbichdn80ss400" localSheetId="0">#REF!</definedName>
    <definedName name="ongbichdn80ss400">#REF!</definedName>
    <definedName name="ongclamp3inox" localSheetId="0">#REF!</definedName>
    <definedName name="ongclamp3inox">#REF!</definedName>
    <definedName name="ongcoupling1.5inox" localSheetId="0">#REF!</definedName>
    <definedName name="ongcoupling1.5inox">#REF!</definedName>
    <definedName name="ongcoupling1inox" localSheetId="0">#REF!</definedName>
    <definedName name="ongcoupling1inox">#REF!</definedName>
    <definedName name="ongcoupling2inox" localSheetId="0">#REF!</definedName>
    <definedName name="ongcoupling2inox">#REF!</definedName>
    <definedName name="ongcoupling3inox" localSheetId="0">#REF!</definedName>
    <definedName name="ongcoupling3inox">#REF!</definedName>
    <definedName name="ongvanbidn15inox" localSheetId="0">#REF!</definedName>
    <definedName name="ongvanbidn15inox">#REF!</definedName>
    <definedName name="ongvanbidn20inox" localSheetId="0">#REF!</definedName>
    <definedName name="ongvanbidn20inox">#REF!</definedName>
    <definedName name="ongvanbidn20ss400" localSheetId="0">#REF!</definedName>
    <definedName name="ongvanbidn20ss400">#REF!</definedName>
    <definedName name="ongvanbidn25inox" localSheetId="0">#REF!</definedName>
    <definedName name="ongvanbidn25inox">#REF!</definedName>
    <definedName name="ongvanbidn32ss400" localSheetId="0">#REF!</definedName>
    <definedName name="ongvanbidn32ss400">#REF!</definedName>
    <definedName name="phuncat" localSheetId="0">#REF!</definedName>
    <definedName name="phuncat">#REF!</definedName>
    <definedName name="_xlnm.Print_Area" localSheetId="0">'ĐỀ NGHỊ VẬT TƯ '!$A$1:$O$84</definedName>
    <definedName name="_xlnm.Print_Titles" localSheetId="0">'ĐỀ NGHỊ VẬT TƯ '!$1:$11</definedName>
    <definedName name="quacaucodinh1" localSheetId="0">#REF!</definedName>
    <definedName name="quacaucodinh1">#REF!</definedName>
    <definedName name="qứg" localSheetId="0">#REF!</definedName>
    <definedName name="qứg">#REF!</definedName>
    <definedName name="SDF" localSheetId="0">#REF!</definedName>
    <definedName name="SDF">#REF!</definedName>
    <definedName name="sightglass" localSheetId="0">#REF!</definedName>
    <definedName name="sightglass">#REF!</definedName>
    <definedName name="tank1000" localSheetId="0">#REF!</definedName>
    <definedName name="tank1000">#REF!</definedName>
    <definedName name="themmowell" localSheetId="0">#REF!</definedName>
    <definedName name="themmowell">#REF!</definedName>
    <definedName name="thu" localSheetId="0">#REF!</definedName>
    <definedName name="thu">#REF!</definedName>
    <definedName name="TKO" localSheetId="0">#REF!</definedName>
    <definedName name="TKO">#REF!</definedName>
    <definedName name="vanantoandn15" localSheetId="0">#REF!</definedName>
    <definedName name="vanantoandn15">#REF!</definedName>
    <definedName name="vanbi34inox" localSheetId="0">#REF!</definedName>
    <definedName name="vanbi34inox">#REF!</definedName>
    <definedName name="vanbuom2sms304" localSheetId="0">#REF!</definedName>
    <definedName name="vanbuom2sms304">#REF!</definedName>
    <definedName name="vanchankhong27" localSheetId="0">#REF!</definedName>
    <definedName name="vanchankhong27">#REF!</definedName>
    <definedName name="vanlaymau" localSheetId="0">#REF!</definedName>
    <definedName name="vanlaymau">#REF!</definedName>
    <definedName name="vkk" localSheetId="0">#REF!</definedName>
    <definedName name="vkk">#REF!</definedName>
    <definedName name="vll" localSheetId="0">#REF!</definedName>
    <definedName name="vll">#REF!</definedName>
    <definedName name="vtcs" localSheetId="0">#REF!</definedName>
    <definedName name="vtcs">#REF!</definedName>
    <definedName name="wad" localSheetId="0">#REF!</definedName>
    <definedName name="wad">#REF!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9" i="25" l="1"/>
  <c r="L40" i="25" l="1"/>
  <c r="L38" i="25"/>
  <c r="L31" i="25"/>
  <c r="L22" i="25"/>
  <c r="L21" i="25"/>
  <c r="L70" i="25" l="1"/>
  <c r="L45" i="25"/>
  <c r="L37" i="25"/>
  <c r="L30" i="25"/>
  <c r="L29" i="25"/>
  <c r="L28" i="25"/>
  <c r="L27" i="25"/>
  <c r="L26" i="25"/>
  <c r="L25" i="25"/>
  <c r="X10" i="25"/>
  <c r="N2" i="25"/>
</calcChain>
</file>

<file path=xl/sharedStrings.xml><?xml version="1.0" encoding="utf-8"?>
<sst xmlns="http://schemas.openxmlformats.org/spreadsheetml/2006/main" count="246" uniqueCount="183">
  <si>
    <r>
      <rPr>
        <b/>
        <sz val="20"/>
        <color theme="1"/>
        <rFont val="Times New Roman"/>
        <family val="1"/>
      </rPr>
      <t>CÔNG TY TNHH TM DV DTC</t>
    </r>
    <r>
      <rPr>
        <sz val="16"/>
        <color theme="1"/>
        <rFont val="Times New Roman"/>
        <family val="1"/>
      </rPr>
      <t xml:space="preserve">
</t>
    </r>
    <r>
      <rPr>
        <sz val="14"/>
        <color theme="1"/>
        <rFont val="Times New Roman"/>
        <family val="1"/>
      </rPr>
      <t>Địa chỉ: Số 86 Đường 65, P. Tân Phong, Q.7, TP.HCM</t>
    </r>
    <r>
      <rPr>
        <sz val="16"/>
        <color theme="1"/>
        <rFont val="Times New Roman"/>
        <family val="1"/>
      </rPr>
      <t xml:space="preserve">
MST:     0312707210</t>
    </r>
  </si>
  <si>
    <t>Số chứng từ:</t>
  </si>
  <si>
    <t>Ngày/tháng/năm:</t>
  </si>
  <si>
    <t xml:space="preserve">ĐỀ NGHỊ VẬT TƯ </t>
  </si>
  <si>
    <t xml:space="preserve">Người đề nghị : </t>
  </si>
  <si>
    <r>
      <rPr>
        <b/>
        <sz val="13"/>
        <rFont val="Times New Roman"/>
        <family val="1"/>
      </rPr>
      <t>Mã NV:</t>
    </r>
    <r>
      <rPr>
        <sz val="13"/>
        <rFont val="Times New Roman"/>
        <family val="1"/>
      </rPr>
      <t xml:space="preserve"> </t>
    </r>
  </si>
  <si>
    <t>Ngày yêu cầu có hàng:</t>
  </si>
  <si>
    <t xml:space="preserve">Chức vụ: </t>
  </si>
  <si>
    <t xml:space="preserve">Bộ phận : </t>
  </si>
  <si>
    <t>Chứng từ đối chiếu:</t>
  </si>
  <si>
    <t xml:space="preserve">Mã dự án : </t>
  </si>
  <si>
    <t>Số lần Đề nghị/DA:</t>
  </si>
  <si>
    <t>001</t>
  </si>
  <si>
    <t>Tên dự án:</t>
  </si>
  <si>
    <t>STT</t>
  </si>
  <si>
    <t>THÔNG TIN SẢN PHẨM</t>
  </si>
  <si>
    <t>Dài (mm)</t>
  </si>
  <si>
    <t>Rộng (mm)</t>
  </si>
  <si>
    <t>Cao (mm)</t>
  </si>
  <si>
    <t>Đơn vị tính</t>
  </si>
  <si>
    <t xml:space="preserve">Số lượng </t>
  </si>
  <si>
    <t>Độ dày (mm)</t>
  </si>
  <si>
    <t>Diễn giải quy cách / yêu cầu</t>
  </si>
  <si>
    <t>Ghi chú</t>
  </si>
  <si>
    <t>Cái</t>
  </si>
  <si>
    <t xml:space="preserve">Racco </t>
  </si>
  <si>
    <t xml:space="preserve">Co ren 90° </t>
  </si>
  <si>
    <t>Nối ren 2 đầu kép</t>
  </si>
  <si>
    <t>Ngã chữ T</t>
  </si>
  <si>
    <t>Bộ lọc đường ống ( Bộ/3 cái )</t>
  </si>
  <si>
    <t>Theo máy nén khí</t>
  </si>
  <si>
    <t>Van xả tự động</t>
  </si>
  <si>
    <t>Cây</t>
  </si>
  <si>
    <t>Nối ren 2 đầu kép 21/21</t>
  </si>
  <si>
    <t>Bộ</t>
  </si>
  <si>
    <t xml:space="preserve">Cái </t>
  </si>
  <si>
    <t>Mét</t>
  </si>
  <si>
    <t>V50 x5mm, dài 6m</t>
  </si>
  <si>
    <t>Dây rút nhựa size 4x300mm</t>
  </si>
  <si>
    <t>Bịch</t>
  </si>
  <si>
    <t>Van khóa đồng tay gạt 2 đầu ren trong 21</t>
  </si>
  <si>
    <t>Băng keo non</t>
  </si>
  <si>
    <t>Cuộn</t>
  </si>
  <si>
    <t>Người đề nghị</t>
  </si>
  <si>
    <t>Trưởng bộ phận</t>
  </si>
  <si>
    <t>Giám đốc</t>
  </si>
  <si>
    <t>Mẫu số 01/21: KL</t>
  </si>
  <si>
    <t>Ban hành: 17/05/21</t>
  </si>
  <si>
    <t>PHIẾU NHẬP KHO THÀNH PHẨM</t>
  </si>
  <si>
    <t xml:space="preserve">Ngày        tháng        năm               </t>
  </si>
  <si>
    <t>Số……………</t>
  </si>
  <si>
    <t>Bên giao hàng:</t>
  </si>
  <si>
    <t>Theo……….số……..</t>
  </si>
  <si>
    <t xml:space="preserve">Ngày………..tháng………….năm……...           </t>
  </si>
  <si>
    <t>Nhập tại kho:</t>
  </si>
  <si>
    <t>Địa điểm:</t>
  </si>
  <si>
    <t>Mã hàng</t>
  </si>
  <si>
    <t>Tên nhãn hiệu, quy cách, dụng cụ, 
sản phẩm, hàng hóa</t>
  </si>
  <si>
    <t>Tổng kho</t>
  </si>
  <si>
    <t>ĐVT</t>
  </si>
  <si>
    <t>Số lượng</t>
  </si>
  <si>
    <t>Ca giao</t>
  </si>
  <si>
    <t>Ghi Chú</t>
  </si>
  <si>
    <t>Số 
thùng</t>
  </si>
  <si>
    <t>SL 
/Thùng</t>
  </si>
  <si>
    <t>SL
 nhập</t>
  </si>
  <si>
    <t>2</t>
  </si>
  <si>
    <t>QC</t>
  </si>
  <si>
    <t>Trưởng Ca</t>
  </si>
  <si>
    <t>Thủ kho</t>
  </si>
  <si>
    <t>Quản Lý</t>
  </si>
  <si>
    <t xml:space="preserve">PHIẾU NHẬP KHO </t>
  </si>
  <si>
    <t>Mã hàng TP</t>
  </si>
  <si>
    <t>Mã hàng NVL</t>
  </si>
  <si>
    <t>Mã</t>
  </si>
  <si>
    <t>BKN</t>
  </si>
  <si>
    <t>CNR21-12</t>
  </si>
  <si>
    <t>N2DRK21</t>
  </si>
  <si>
    <t>SVS-MNK</t>
  </si>
  <si>
    <t>DR-4.300</t>
  </si>
  <si>
    <t>THEPV50</t>
  </si>
  <si>
    <t>VANK2DR-21</t>
  </si>
  <si>
    <t>DTC-</t>
  </si>
  <si>
    <t>Sợi</t>
  </si>
  <si>
    <t>OHOI-10</t>
  </si>
  <si>
    <t>Ống mềm Ø10mm</t>
  </si>
  <si>
    <t>Len (cuộn tròn quấn ống ren khí nén)</t>
  </si>
  <si>
    <t>LEN_ORKN</t>
  </si>
  <si>
    <t>Cút nối nhanh ren ngoài 21mm nối ống Ø10mm</t>
  </si>
  <si>
    <t>CNR21-10</t>
  </si>
  <si>
    <t>Máy</t>
  </si>
  <si>
    <t>Đồng thau Ren 21, ống Ø10</t>
  </si>
  <si>
    <t>Đường khí nén bảo trì</t>
  </si>
  <si>
    <t>Cút nối nhanh ren ngoài 21 nối ống Ø8mm</t>
  </si>
  <si>
    <t>ON21</t>
  </si>
  <si>
    <t>Ống nhựa Ø21mm</t>
  </si>
  <si>
    <t>CNNT21</t>
  </si>
  <si>
    <t>Co nhựa nối ống 21 có 1 đầu ren 21</t>
  </si>
  <si>
    <t>TNO21</t>
  </si>
  <si>
    <t>Tê nối ống 21 có 1 đầu ren 21</t>
  </si>
  <si>
    <t>CTO21</t>
  </si>
  <si>
    <t>Co trơn ống  Ø21</t>
  </si>
  <si>
    <t>TNOT21</t>
  </si>
  <si>
    <t>Tê nối ống trơn  Ø21</t>
  </si>
  <si>
    <t>NOT21</t>
  </si>
  <si>
    <t>Nối ống trơn Ø21</t>
  </si>
  <si>
    <t>C.OMG21</t>
  </si>
  <si>
    <t>Cùm Ômega Ø21</t>
  </si>
  <si>
    <t>TKN8V</t>
  </si>
  <si>
    <t>Tắc kê nhựa 8 + vít</t>
  </si>
  <si>
    <t>KD-ON</t>
  </si>
  <si>
    <t>Keo dán ống nhựa 0.5kg</t>
  </si>
  <si>
    <t>Hộp</t>
  </si>
  <si>
    <t>COSON30</t>
  </si>
  <si>
    <t>Cọ sơn 30mm</t>
  </si>
  <si>
    <t>DC100</t>
  </si>
  <si>
    <t>Đá cắt 100mm</t>
  </si>
  <si>
    <t>Miếng</t>
  </si>
  <si>
    <t>NHOT-MRO</t>
  </si>
  <si>
    <t>Nhớt máy ren ống</t>
  </si>
  <si>
    <t>Lít</t>
  </si>
  <si>
    <t>CLS50</t>
  </si>
  <si>
    <t>Con lăn sơn 50mm</t>
  </si>
  <si>
    <t>Con</t>
  </si>
  <si>
    <t>Bao tay len</t>
  </si>
  <si>
    <t>Đôi</t>
  </si>
  <si>
    <t>Giẻ lau</t>
  </si>
  <si>
    <t>Kg</t>
  </si>
  <si>
    <t>Que hàn 2.5mm</t>
  </si>
  <si>
    <t>VXD-MICB</t>
  </si>
  <si>
    <t>Van điện tử xả nước tự động Joc MIC-B (230V/15W)</t>
  </si>
  <si>
    <t>Nối hai đầu ren kép 21/21</t>
  </si>
  <si>
    <t>COREN90-15</t>
  </si>
  <si>
    <t>Co ren 21</t>
  </si>
  <si>
    <r>
      <t>Dây điện 2x1.5mm</t>
    </r>
    <r>
      <rPr>
        <sz val="13"/>
        <rFont val=".VnArial Narrow"/>
        <family val="2"/>
      </rPr>
      <t>²</t>
    </r>
  </si>
  <si>
    <t xml:space="preserve">KHUYẾN NGHỊ KHÁCH HÀNG </t>
  </si>
  <si>
    <t>VẬT TƯ ĐIỆN TẠM TÍNH</t>
  </si>
  <si>
    <t>MCB - 10A cấp nguồn cho máy sấy khí</t>
  </si>
  <si>
    <t>DN15</t>
  </si>
  <si>
    <t>Đồng thau Ren 21, ống Ø8</t>
  </si>
  <si>
    <t>Ø10</t>
  </si>
  <si>
    <t>Bộ dao ren ống 1-2"</t>
  </si>
  <si>
    <t>Dao tiện ren ống 1 - 2" (DN25 - DN50)</t>
  </si>
  <si>
    <t>Bình chứa khí nén + phụ kiện (Van an toàn, van xả đáy, đồng hồ,...)</t>
  </si>
  <si>
    <t>Làm bát đỡ đường ống, cụm bypass</t>
  </si>
  <si>
    <t>Lấy khí nén bảo trì máy</t>
  </si>
  <si>
    <t>Sơn bạc (Bạch Tuyết) 0.5Kg</t>
  </si>
  <si>
    <t>Đây là thiết bị khuyến nghị khách hàng gắn thêm (Nếu không sử dụng vui lòng bỏ qua phần này).</t>
  </si>
  <si>
    <t>Tuỳ thuộc vào bố trí máy nén, máy sấy, cách đi dây và vị trí đặt MCCB cấp nguồn cho máy nén khí; sau khi giao và đưa máy vào vị trí mới xác định cụ thể vật tư điện.</t>
  </si>
  <si>
    <t xml:space="preserve">Máy sấy khí nén </t>
  </si>
  <si>
    <t>Cút Y nối nhanh ống khí nén Ф10mm</t>
  </si>
  <si>
    <t>CYNOKN10</t>
  </si>
  <si>
    <t>Dây nguồn cấp điện cho máy sấy khí CV 3x2.0</t>
  </si>
  <si>
    <t>Vật tư lắp đặt hệ máy nén khí 50HP</t>
  </si>
  <si>
    <t>Máy nén khí 50HP</t>
  </si>
  <si>
    <t>060QPS</t>
  </si>
  <si>
    <t>VẬT TƯ LẮP ĐẶT BỘ MÁY NÉN KHÍ 50HP TIÊU CHUẨN THEO SƠ ĐỒ</t>
  </si>
  <si>
    <t>DN40,PN16</t>
  </si>
  <si>
    <t>Van bi đòng DN40, PN16 ( loại tay gạt)</t>
  </si>
  <si>
    <t>RACCO-40</t>
  </si>
  <si>
    <t>DN40</t>
  </si>
  <si>
    <t>VANBID40-16</t>
  </si>
  <si>
    <t>COREN90-40</t>
  </si>
  <si>
    <t>N2DRK40</t>
  </si>
  <si>
    <t>Sin làm kín Rắc-co Ø49 *3mm</t>
  </si>
  <si>
    <t>Ø49 *3mm</t>
  </si>
  <si>
    <t>NTRT-40</t>
  </si>
  <si>
    <t>THEPO.49*3*6000</t>
  </si>
  <si>
    <t>Ống kẽm Ø49 *3mm*6000</t>
  </si>
  <si>
    <t>Ø49 *3mm*6000mm</t>
  </si>
  <si>
    <t>DN49</t>
  </si>
  <si>
    <t>Tê giảm ren 49/21</t>
  </si>
  <si>
    <t>DN40/15</t>
  </si>
  <si>
    <t>OHOI-8</t>
  </si>
  <si>
    <t>Ống mềm Ø8mm</t>
  </si>
  <si>
    <t>Ø8</t>
  </si>
  <si>
    <t>Cùm U (ren M8) cố định ống 49</t>
  </si>
  <si>
    <t>MS-49</t>
  </si>
  <si>
    <t>Măng song kẽm  Ø49 ( nối ren trong ống 49)</t>
  </si>
  <si>
    <t>Co giảm ren 49/34</t>
  </si>
  <si>
    <t>MCCB 3pha 100A</t>
  </si>
  <si>
    <t>Dây điện cấp nguồn cho máy nén khí CV 3x35 + 1x16</t>
  </si>
  <si>
    <t>Súng xịt hơi + ống xoắn hơi 9m ( ống Ø8 )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</si>
</sst>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
    <numFmt numFmtId="165" formatCode="&quot;Dep Code: &quot;\ ###"/>
    <numFmt numFmtId="166" formatCode="[$-1010000]d/m/yyyy;@"/>
    <numFmt numFmtId="167" formatCode="_(* #,##0_);_(* \(#,##0\);_(* &quot;-&quot;??_);_(@_)"/>
  </numFmts>
  <fonts count="25">
    <font>
      <sz val="11"/>
      <color theme="1"/>
      <name val="Calibri"/>
      <charset val="134"/>
      <scheme val="minor"/>
    </font>
    <font>
      <sz val="11"/>
      <color theme="1"/>
      <name val="Times New Roman"/>
      <family val="1"/>
    </font>
    <font>
      <b/>
      <sz val="10"/>
      <color theme="1"/>
      <name val="Times New Roman"/>
      <family val="1"/>
    </font>
    <font>
      <b/>
      <i/>
      <sz val="11"/>
      <color theme="1"/>
      <name val="Times New Roman"/>
      <family val="1"/>
    </font>
    <font>
      <b/>
      <sz val="18"/>
      <color theme="1"/>
      <name val="Times New Roman"/>
      <family val="1"/>
    </font>
    <font>
      <sz val="12"/>
      <color theme="1"/>
      <name val="Times New Roman"/>
      <family val="1"/>
    </font>
    <font>
      <b/>
      <sz val="11"/>
      <color theme="1"/>
      <name val="Times New Roman"/>
      <family val="1"/>
    </font>
    <font>
      <sz val="12"/>
      <name val="Times New Roman"/>
      <family val="1"/>
    </font>
    <font>
      <b/>
      <sz val="12"/>
      <name val="Times New Roman"/>
      <family val="1"/>
    </font>
    <font>
      <b/>
      <sz val="9"/>
      <color theme="1"/>
      <name val="Times New Roman"/>
      <family val="1"/>
    </font>
    <font>
      <sz val="16"/>
      <color theme="1"/>
      <name val="Times New Roman"/>
      <family val="1"/>
    </font>
    <font>
      <b/>
      <sz val="28"/>
      <name val="Times New Roman"/>
      <family val="1"/>
    </font>
    <font>
      <b/>
      <sz val="13"/>
      <name val="Times New Roman"/>
      <family val="1"/>
    </font>
    <font>
      <sz val="13"/>
      <name val="Times New Roman"/>
      <family val="1"/>
    </font>
    <font>
      <sz val="13"/>
      <color theme="1"/>
      <name val="Times New Roman"/>
      <family val="1"/>
    </font>
    <font>
      <b/>
      <sz val="14"/>
      <name val="Times New Roman"/>
      <family val="1"/>
    </font>
    <font>
      <sz val="10"/>
      <name val="VNI-Times"/>
    </font>
    <font>
      <sz val="10"/>
      <name val="Arial"/>
      <family val="2"/>
    </font>
    <font>
      <b/>
      <sz val="20"/>
      <color theme="1"/>
      <name val="Times New Roman"/>
      <family val="1"/>
    </font>
    <font>
      <sz val="14"/>
      <color theme="1"/>
      <name val="Times New Roman"/>
      <family val="1"/>
    </font>
    <font>
      <b/>
      <sz val="13"/>
      <color theme="1"/>
      <name val="Times New Roman"/>
      <family val="1"/>
    </font>
    <font>
      <sz val="13"/>
      <color theme="1"/>
      <name val="Times New Roman"/>
      <family val="1"/>
    </font>
    <font>
      <sz val="13"/>
      <name val="Times New Roman"/>
      <family val="1"/>
    </font>
    <font>
      <sz val="13"/>
      <name val=".VnArial Narrow"/>
      <family val="2"/>
    </font>
    <font>
      <sz val="13"/>
      <color rgb="FF000000"/>
      <name val="Times New Roman"/>
      <family val="1"/>
    </font>
  </fonts>
  <fills count="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30">
    <border>
      <left/>
      <right/>
      <top/>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diagonal/>
    </border>
    <border>
      <left/>
      <right style="thin">
        <color auto="1"/>
      </right>
      <top style="hair">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right/>
      <top style="hair">
        <color auto="1"/>
      </top>
      <bottom/>
      <diagonal/>
    </border>
  </borders>
  <cellStyleXfs count="6">
    <xf numFmtId="0" fontId="0" fillId="0" borderId="0"/>
    <xf numFmtId="43" fontId="16" fillId="0" borderId="0" applyFont="0" applyFill="0" applyBorder="0" applyAlignment="0" applyProtection="0"/>
    <xf numFmtId="0" fontId="17" fillId="0" borderId="0"/>
    <xf numFmtId="0" fontId="16" fillId="0" borderId="0"/>
    <xf numFmtId="0" fontId="17" fillId="0" borderId="0"/>
    <xf numFmtId="0" fontId="17" fillId="0" borderId="0"/>
  </cellStyleXfs>
  <cellXfs count="210">
    <xf numFmtId="0" fontId="0" fillId="0" borderId="0" xfId="0"/>
    <xf numFmtId="0" fontId="1" fillId="0" borderId="0" xfId="0" applyFont="1" applyAlignment="1">
      <alignment vertical="center"/>
    </xf>
    <xf numFmtId="0" fontId="1" fillId="0" borderId="0" xfId="0" applyFont="1"/>
    <xf numFmtId="0" fontId="1" fillId="2" borderId="0" xfId="0" applyFont="1" applyFill="1"/>
    <xf numFmtId="0" fontId="6" fillId="0" borderId="4" xfId="0" applyFont="1" applyBorder="1" applyAlignment="1">
      <alignment horizontal="center" vertical="center"/>
    </xf>
    <xf numFmtId="0" fontId="1" fillId="0" borderId="4" xfId="0" applyFont="1" applyBorder="1" applyAlignment="1">
      <alignment horizontal="center"/>
    </xf>
    <xf numFmtId="0" fontId="1" fillId="0" borderId="4" xfId="0" applyFont="1" applyBorder="1"/>
    <xf numFmtId="0" fontId="6" fillId="0" borderId="0" xfId="0" applyFont="1" applyAlignment="1">
      <alignment horizontal="right" vertical="top"/>
    </xf>
    <xf numFmtId="0" fontId="6" fillId="0" borderId="0" xfId="0" applyFont="1" applyAlignment="1">
      <alignment horizontal="center" vertical="top"/>
    </xf>
    <xf numFmtId="0" fontId="6" fillId="0" borderId="0" xfId="0" applyFont="1" applyAlignment="1">
      <alignment vertical="top"/>
    </xf>
    <xf numFmtId="0" fontId="1" fillId="0" borderId="0" xfId="0" applyFont="1" applyAlignment="1">
      <alignment horizontal="center"/>
    </xf>
    <xf numFmtId="0" fontId="6" fillId="0" borderId="4" xfId="0" applyFont="1" applyBorder="1" applyAlignment="1">
      <alignment horizontal="center" vertical="center" wrapText="1"/>
    </xf>
    <xf numFmtId="0" fontId="7" fillId="0" borderId="0" xfId="0" applyFont="1"/>
    <xf numFmtId="0" fontId="8" fillId="0" borderId="0" xfId="3" applyFont="1" applyAlignment="1">
      <alignment vertical="center"/>
    </xf>
    <xf numFmtId="0" fontId="7" fillId="0" borderId="0" xfId="3" applyFont="1"/>
    <xf numFmtId="0" fontId="7" fillId="0" borderId="0" xfId="3" applyFont="1" applyAlignment="1">
      <alignment wrapText="1"/>
    </xf>
    <xf numFmtId="0" fontId="9" fillId="0" borderId="10" xfId="3" applyFont="1" applyBorder="1" applyAlignment="1">
      <alignment vertical="center"/>
    </xf>
    <xf numFmtId="0" fontId="9" fillId="0" borderId="11" xfId="3" applyFont="1" applyBorder="1" applyAlignment="1">
      <alignment vertical="center" wrapText="1"/>
    </xf>
    <xf numFmtId="0" fontId="9" fillId="0" borderId="12" xfId="3" applyFont="1" applyBorder="1" applyAlignment="1">
      <alignment vertical="center" wrapText="1"/>
    </xf>
    <xf numFmtId="0" fontId="9" fillId="0" borderId="2" xfId="3" applyFont="1" applyBorder="1" applyAlignment="1">
      <alignment vertical="center"/>
    </xf>
    <xf numFmtId="0" fontId="9" fillId="0" borderId="3" xfId="3" applyFont="1" applyBorder="1" applyAlignment="1">
      <alignment vertical="center" wrapText="1"/>
    </xf>
    <xf numFmtId="0" fontId="9" fillId="0" borderId="6" xfId="3" applyFont="1" applyBorder="1" applyAlignment="1">
      <alignment vertical="center" wrapText="1"/>
    </xf>
    <xf numFmtId="0" fontId="9" fillId="0" borderId="0" xfId="3" applyFont="1" applyAlignment="1">
      <alignment vertical="center"/>
    </xf>
    <xf numFmtId="0" fontId="9" fillId="0" borderId="0" xfId="3" applyFont="1" applyAlignment="1">
      <alignment vertical="center" wrapText="1"/>
    </xf>
    <xf numFmtId="0" fontId="7" fillId="3" borderId="0" xfId="5" applyFont="1" applyFill="1" applyAlignment="1" applyProtection="1">
      <alignment vertical="top" wrapText="1"/>
      <protection hidden="1"/>
    </xf>
    <xf numFmtId="0" fontId="12" fillId="0" borderId="0" xfId="4" applyFont="1" applyAlignment="1">
      <alignment horizontal="left" vertical="center" wrapText="1"/>
    </xf>
    <xf numFmtId="0" fontId="12" fillId="0" borderId="0" xfId="4" applyFont="1" applyAlignment="1">
      <alignment horizontal="left" vertical="center" wrapText="1" indent="1"/>
    </xf>
    <xf numFmtId="0" fontId="13" fillId="0" borderId="0" xfId="4" applyFont="1" applyAlignment="1" applyProtection="1">
      <alignment vertical="center"/>
      <protection locked="0"/>
    </xf>
    <xf numFmtId="0" fontId="12" fillId="0" borderId="0" xfId="4" applyFont="1" applyAlignment="1">
      <alignment horizontal="left" vertical="center"/>
    </xf>
    <xf numFmtId="0" fontId="12" fillId="0" borderId="0" xfId="4" applyFont="1" applyAlignment="1">
      <alignment vertical="center" wrapText="1"/>
    </xf>
    <xf numFmtId="0" fontId="12" fillId="0" borderId="4" xfId="4" applyFont="1" applyBorder="1" applyAlignment="1">
      <alignment vertical="center" wrapText="1"/>
    </xf>
    <xf numFmtId="0" fontId="13" fillId="0" borderId="0" xfId="3" applyFont="1" applyAlignment="1">
      <alignment wrapText="1"/>
    </xf>
    <xf numFmtId="165" fontId="12" fillId="0" borderId="0" xfId="4" applyNumberFormat="1" applyFont="1" applyAlignment="1">
      <alignment horizontal="left" vertical="center"/>
    </xf>
    <xf numFmtId="0" fontId="13" fillId="0" borderId="0" xfId="3" applyFont="1"/>
    <xf numFmtId="0" fontId="12" fillId="0" borderId="0" xfId="4" applyFont="1" applyAlignment="1" applyProtection="1">
      <alignment horizontal="left" vertical="center"/>
      <protection locked="0"/>
    </xf>
    <xf numFmtId="0" fontId="12" fillId="0" borderId="0" xfId="4" applyFont="1" applyAlignment="1" applyProtection="1">
      <alignment horizontal="left" vertical="center" wrapText="1"/>
      <protection locked="0"/>
    </xf>
    <xf numFmtId="0" fontId="12" fillId="0" borderId="4" xfId="4" applyFont="1" applyBorder="1" applyAlignment="1" applyProtection="1">
      <alignment horizontal="left" vertical="center" wrapText="1"/>
      <protection locked="0"/>
    </xf>
    <xf numFmtId="0" fontId="12" fillId="0" borderId="0" xfId="4" applyFont="1" applyAlignment="1">
      <alignment vertical="center"/>
    </xf>
    <xf numFmtId="0" fontId="12" fillId="0" borderId="4" xfId="3" applyFont="1" applyBorder="1" applyAlignment="1">
      <alignment horizontal="left" vertical="center" wrapText="1"/>
    </xf>
    <xf numFmtId="0" fontId="8" fillId="0" borderId="0" xfId="4" applyFont="1" applyAlignment="1" applyProtection="1">
      <alignment horizontal="left" vertical="center"/>
      <protection locked="0"/>
    </xf>
    <xf numFmtId="0" fontId="8" fillId="0" borderId="0" xfId="4" applyFont="1" applyAlignment="1" applyProtection="1">
      <alignment horizontal="left" vertical="center" wrapText="1"/>
      <protection locked="0"/>
    </xf>
    <xf numFmtId="0" fontId="12" fillId="0" borderId="13" xfId="0" applyFont="1" applyBorder="1" applyAlignment="1">
      <alignment vertical="center"/>
    </xf>
    <xf numFmtId="3" fontId="12" fillId="0" borderId="13" xfId="0" applyNumberFormat="1" applyFont="1" applyBorder="1" applyAlignment="1">
      <alignment horizontal="center" vertical="center" wrapText="1"/>
    </xf>
    <xf numFmtId="0" fontId="7" fillId="0" borderId="14" xfId="0" applyFont="1" applyBorder="1" applyAlignment="1">
      <alignment horizontal="center" vertical="center"/>
    </xf>
    <xf numFmtId="3" fontId="5" fillId="0" borderId="14" xfId="0" applyNumberFormat="1" applyFont="1" applyBorder="1" applyAlignment="1">
      <alignment horizontal="center" vertical="center"/>
    </xf>
    <xf numFmtId="3" fontId="14" fillId="0" borderId="14" xfId="0" applyNumberFormat="1" applyFont="1" applyBorder="1" applyAlignment="1">
      <alignment horizontal="center" vertical="center"/>
    </xf>
    <xf numFmtId="0" fontId="14" fillId="0" borderId="14" xfId="0" applyFont="1" applyBorder="1" applyAlignment="1">
      <alignment horizontal="center" vertical="center"/>
    </xf>
    <xf numFmtId="0" fontId="14" fillId="0" borderId="20" xfId="0" applyFont="1" applyBorder="1" applyAlignment="1">
      <alignment horizontal="center" vertical="center"/>
    </xf>
    <xf numFmtId="3" fontId="14" fillId="0" borderId="20" xfId="0" applyNumberFormat="1" applyFont="1" applyBorder="1" applyAlignment="1">
      <alignment horizontal="center" vertical="center"/>
    </xf>
    <xf numFmtId="0" fontId="8" fillId="0" borderId="0" xfId="3" applyFont="1" applyAlignment="1">
      <alignment vertical="center" wrapText="1"/>
    </xf>
    <xf numFmtId="0" fontId="15" fillId="0" borderId="0" xfId="3" applyFont="1" applyAlignment="1">
      <alignment horizontal="center" vertical="center" wrapText="1"/>
    </xf>
    <xf numFmtId="0" fontId="15" fillId="0" borderId="0" xfId="3" applyFont="1" applyAlignment="1">
      <alignment vertical="center" wrapText="1"/>
    </xf>
    <xf numFmtId="0" fontId="15" fillId="0" borderId="0" xfId="3" applyFont="1" applyAlignment="1">
      <alignment vertical="center"/>
    </xf>
    <xf numFmtId="0" fontId="7" fillId="3" borderId="4" xfId="5" applyFont="1" applyFill="1" applyBorder="1" applyAlignment="1" applyProtection="1">
      <alignment horizontal="left" vertical="center" wrapText="1"/>
      <protection hidden="1"/>
    </xf>
    <xf numFmtId="0" fontId="12" fillId="0" borderId="0" xfId="3" applyFont="1" applyAlignment="1">
      <alignment vertical="center"/>
    </xf>
    <xf numFmtId="0" fontId="12" fillId="0" borderId="0" xfId="4" applyFont="1" applyAlignment="1" applyProtection="1">
      <alignment horizontal="center" vertical="center"/>
      <protection locked="0"/>
    </xf>
    <xf numFmtId="3" fontId="13" fillId="0" borderId="0" xfId="3" applyNumberFormat="1" applyFont="1"/>
    <xf numFmtId="3" fontId="12" fillId="0" borderId="13" xfId="0" applyNumberFormat="1" applyFont="1" applyBorder="1" applyAlignment="1">
      <alignment horizontal="center" vertical="center"/>
    </xf>
    <xf numFmtId="167" fontId="5" fillId="0" borderId="14" xfId="0" applyNumberFormat="1" applyFont="1" applyBorder="1" applyAlignment="1">
      <alignment horizontal="center" vertical="center"/>
    </xf>
    <xf numFmtId="4" fontId="5" fillId="0" borderId="14" xfId="0" applyNumberFormat="1" applyFont="1" applyBorder="1" applyAlignment="1">
      <alignment horizontal="center" vertical="center" wrapText="1"/>
    </xf>
    <xf numFmtId="3" fontId="5" fillId="0" borderId="14" xfId="0" applyNumberFormat="1" applyFont="1" applyBorder="1" applyAlignment="1">
      <alignment vertical="center" wrapText="1"/>
    </xf>
    <xf numFmtId="0" fontId="14" fillId="0" borderId="16" xfId="0" applyFont="1" applyBorder="1" applyAlignment="1">
      <alignment horizontal="center" vertical="center" wrapText="1"/>
    </xf>
    <xf numFmtId="0" fontId="14" fillId="0" borderId="14" xfId="0" applyFont="1" applyBorder="1" applyAlignment="1">
      <alignment horizontal="center" vertical="center" wrapText="1"/>
    </xf>
    <xf numFmtId="3" fontId="14" fillId="0" borderId="14" xfId="0" applyNumberFormat="1" applyFont="1" applyBorder="1" applyAlignment="1">
      <alignment vertical="center" wrapText="1"/>
    </xf>
    <xf numFmtId="1" fontId="14" fillId="0" borderId="14" xfId="0" applyNumberFormat="1" applyFont="1" applyBorder="1" applyAlignment="1">
      <alignment horizontal="center" vertical="center" wrapText="1"/>
    </xf>
    <xf numFmtId="0" fontId="7" fillId="0" borderId="0" xfId="0" applyFont="1" applyAlignment="1">
      <alignment horizontal="center" vertical="center"/>
    </xf>
    <xf numFmtId="0" fontId="14" fillId="0" borderId="20" xfId="0" applyFont="1" applyBorder="1" applyAlignment="1">
      <alignment horizontal="center" vertical="center" wrapText="1"/>
    </xf>
    <xf numFmtId="3" fontId="14" fillId="0" borderId="20" xfId="0" applyNumberFormat="1" applyFont="1" applyBorder="1" applyAlignment="1">
      <alignment vertical="center" wrapText="1"/>
    </xf>
    <xf numFmtId="0" fontId="1" fillId="0" borderId="4" xfId="0" quotePrefix="1" applyFont="1" applyBorder="1" applyAlignment="1">
      <alignment horizontal="center"/>
    </xf>
    <xf numFmtId="0" fontId="12" fillId="0" borderId="13" xfId="0" applyFont="1" applyBorder="1" applyAlignment="1">
      <alignment horizontal="center" vertical="center"/>
    </xf>
    <xf numFmtId="0" fontId="12" fillId="0" borderId="13" xfId="0" applyFont="1" applyBorder="1" applyAlignment="1">
      <alignment horizontal="center" vertical="center" wrapText="1"/>
    </xf>
    <xf numFmtId="0" fontId="15" fillId="0" borderId="0" xfId="3" applyFont="1" applyAlignment="1">
      <alignment horizontal="center" vertical="center"/>
    </xf>
    <xf numFmtId="3" fontId="14" fillId="0" borderId="15" xfId="0" applyNumberFormat="1" applyFont="1" applyBorder="1" applyAlignment="1">
      <alignment vertical="center" wrapText="1"/>
    </xf>
    <xf numFmtId="0" fontId="9" fillId="0" borderId="11" xfId="3" applyFont="1" applyBorder="1" applyAlignment="1">
      <alignment vertical="center"/>
    </xf>
    <xf numFmtId="0" fontId="9" fillId="0" borderId="3" xfId="3" applyFont="1" applyBorder="1" applyAlignment="1">
      <alignment vertical="center"/>
    </xf>
    <xf numFmtId="0" fontId="13" fillId="0" borderId="14" xfId="0" applyFont="1" applyBorder="1" applyAlignment="1">
      <alignment horizontal="center" vertical="center"/>
    </xf>
    <xf numFmtId="4" fontId="14" fillId="0" borderId="14" xfId="0" applyNumberFormat="1" applyFont="1" applyBorder="1" applyAlignment="1">
      <alignment horizontal="center" vertical="center" wrapText="1"/>
    </xf>
    <xf numFmtId="3" fontId="14" fillId="0" borderId="17" xfId="0" applyNumberFormat="1" applyFont="1" applyBorder="1" applyAlignment="1">
      <alignment horizontal="center" vertical="center" wrapText="1"/>
    </xf>
    <xf numFmtId="3" fontId="14" fillId="0" borderId="19" xfId="0" applyNumberFormat="1" applyFont="1" applyBorder="1" applyAlignment="1">
      <alignment horizontal="center" vertical="center" wrapText="1"/>
    </xf>
    <xf numFmtId="0" fontId="14" fillId="0" borderId="14" xfId="0" applyFont="1" applyBorder="1" applyAlignment="1">
      <alignment horizontal="center" vertical="center"/>
    </xf>
    <xf numFmtId="0" fontId="14" fillId="4" borderId="14" xfId="0" applyFont="1" applyFill="1" applyBorder="1" applyAlignment="1">
      <alignment horizontal="center" vertical="center"/>
    </xf>
    <xf numFmtId="0" fontId="14" fillId="4" borderId="14" xfId="0" applyFont="1" applyFill="1" applyBorder="1" applyAlignment="1">
      <alignment horizontal="center" vertical="center" wrapText="1"/>
    </xf>
    <xf numFmtId="0" fontId="21" fillId="0" borderId="4" xfId="0" applyFont="1" applyBorder="1" applyAlignment="1">
      <alignment horizontal="center" vertical="center"/>
    </xf>
    <xf numFmtId="3" fontId="21" fillId="0" borderId="4" xfId="0" applyNumberFormat="1" applyFont="1" applyBorder="1" applyAlignment="1">
      <alignment horizontal="center" vertical="center"/>
    </xf>
    <xf numFmtId="0" fontId="21" fillId="0" borderId="4" xfId="0" applyFont="1" applyBorder="1" applyAlignment="1">
      <alignment horizontal="center" vertical="center" wrapText="1"/>
    </xf>
    <xf numFmtId="3" fontId="21" fillId="0" borderId="4" xfId="0" applyNumberFormat="1" applyFont="1" applyFill="1" applyBorder="1" applyAlignment="1">
      <alignment horizontal="center" vertical="center"/>
    </xf>
    <xf numFmtId="0" fontId="21" fillId="0" borderId="4" xfId="0" applyFont="1" applyFill="1" applyBorder="1" applyAlignment="1">
      <alignment horizontal="center" vertical="center"/>
    </xf>
    <xf numFmtId="0" fontId="21" fillId="0" borderId="4" xfId="0" applyFont="1" applyFill="1" applyBorder="1" applyAlignment="1">
      <alignment horizontal="center" vertical="center" wrapText="1"/>
    </xf>
    <xf numFmtId="0" fontId="7" fillId="4" borderId="14" xfId="0" applyFont="1" applyFill="1" applyBorder="1" applyAlignment="1">
      <alignment horizontal="center" vertical="center"/>
    </xf>
    <xf numFmtId="3" fontId="5" fillId="4" borderId="14" xfId="0" applyNumberFormat="1" applyFont="1" applyFill="1" applyBorder="1" applyAlignment="1">
      <alignment horizontal="center" vertical="center"/>
    </xf>
    <xf numFmtId="167" fontId="5" fillId="4" borderId="14" xfId="0" applyNumberFormat="1" applyFont="1" applyFill="1" applyBorder="1" applyAlignment="1">
      <alignment horizontal="center" vertical="center"/>
    </xf>
    <xf numFmtId="4" fontId="5" fillId="4" borderId="14" xfId="0" applyNumberFormat="1" applyFont="1" applyFill="1" applyBorder="1" applyAlignment="1">
      <alignment horizontal="center" vertical="center" wrapText="1"/>
    </xf>
    <xf numFmtId="3" fontId="5" fillId="4" borderId="14" xfId="0" applyNumberFormat="1" applyFont="1" applyFill="1" applyBorder="1" applyAlignment="1">
      <alignment vertical="center" wrapText="1"/>
    </xf>
    <xf numFmtId="3" fontId="14" fillId="4" borderId="14" xfId="0" applyNumberFormat="1" applyFont="1" applyFill="1" applyBorder="1" applyAlignment="1">
      <alignment horizontal="center" vertical="center"/>
    </xf>
    <xf numFmtId="0" fontId="14" fillId="0" borderId="15" xfId="0" applyFont="1" applyBorder="1" applyAlignment="1">
      <alignment horizontal="center" vertical="center"/>
    </xf>
    <xf numFmtId="0" fontId="14" fillId="0" borderId="15" xfId="0" applyFont="1" applyBorder="1" applyAlignment="1">
      <alignment horizontal="center" vertical="center" wrapText="1"/>
    </xf>
    <xf numFmtId="0" fontId="21" fillId="0" borderId="5" xfId="0" applyFont="1" applyFill="1" applyBorder="1" applyAlignment="1">
      <alignment horizontal="center" vertical="center"/>
    </xf>
    <xf numFmtId="0" fontId="22" fillId="0" borderId="3" xfId="0" applyFont="1" applyFill="1" applyBorder="1" applyAlignment="1">
      <alignment horizontal="left" vertical="center"/>
    </xf>
    <xf numFmtId="0" fontId="22" fillId="0" borderId="6" xfId="0" applyFont="1" applyFill="1" applyBorder="1" applyAlignment="1">
      <alignment horizontal="left" vertical="center"/>
    </xf>
    <xf numFmtId="3" fontId="21" fillId="0" borderId="5" xfId="0" applyNumberFormat="1" applyFont="1" applyFill="1" applyBorder="1" applyAlignment="1">
      <alignment horizontal="center" vertical="center"/>
    </xf>
    <xf numFmtId="0" fontId="21" fillId="0" borderId="5" xfId="0" applyFont="1" applyFill="1" applyBorder="1" applyAlignment="1">
      <alignment horizontal="center" vertical="center" wrapText="1"/>
    </xf>
    <xf numFmtId="3" fontId="5" fillId="4" borderId="17" xfId="0" applyNumberFormat="1" applyFont="1" applyFill="1" applyBorder="1" applyAlignment="1">
      <alignment horizontal="center" vertical="center" wrapText="1"/>
    </xf>
    <xf numFmtId="3" fontId="5" fillId="4" borderId="19" xfId="0" applyNumberFormat="1" applyFont="1" applyFill="1" applyBorder="1" applyAlignment="1">
      <alignment horizontal="center" vertical="center" wrapText="1"/>
    </xf>
    <xf numFmtId="0" fontId="14" fillId="0" borderId="4" xfId="0" applyFont="1" applyFill="1" applyBorder="1" applyAlignment="1">
      <alignment horizontal="center" vertical="center"/>
    </xf>
    <xf numFmtId="3" fontId="14" fillId="0" borderId="17" xfId="0" applyNumberFormat="1" applyFont="1" applyBorder="1" applyAlignment="1">
      <alignment horizontal="center" vertical="center" wrapText="1"/>
    </xf>
    <xf numFmtId="3" fontId="14" fillId="0" borderId="19" xfId="0" applyNumberFormat="1" applyFont="1" applyBorder="1" applyAlignment="1">
      <alignment horizontal="center" vertical="center" wrapText="1"/>
    </xf>
    <xf numFmtId="0" fontId="14" fillId="2" borderId="14" xfId="0" applyFont="1" applyFill="1" applyBorder="1" applyAlignment="1">
      <alignment horizontal="center" vertical="center"/>
    </xf>
    <xf numFmtId="0" fontId="14" fillId="2" borderId="20" xfId="0" applyFont="1" applyFill="1" applyBorder="1" applyAlignment="1">
      <alignment horizontal="center" vertical="center"/>
    </xf>
    <xf numFmtId="3" fontId="5" fillId="0" borderId="15" xfId="0" applyNumberFormat="1" applyFont="1" applyFill="1" applyBorder="1" applyAlignment="1">
      <alignment vertical="center" wrapText="1"/>
    </xf>
    <xf numFmtId="0" fontId="22" fillId="0" borderId="4" xfId="0" applyFont="1" applyFill="1" applyBorder="1" applyAlignment="1">
      <alignment horizontal="center" vertical="center"/>
    </xf>
    <xf numFmtId="0" fontId="14" fillId="0" borderId="14" xfId="0" applyFont="1" applyBorder="1" applyAlignment="1">
      <alignment horizontal="center" vertical="center"/>
    </xf>
    <xf numFmtId="0" fontId="24" fillId="0" borderId="17" xfId="0" applyFont="1" applyBorder="1" applyAlignment="1">
      <alignment horizontal="center" vertical="center"/>
    </xf>
    <xf numFmtId="0" fontId="24" fillId="0" borderId="19" xfId="0" applyFont="1" applyBorder="1" applyAlignment="1">
      <alignment horizontal="center" vertical="center"/>
    </xf>
    <xf numFmtId="3" fontId="14" fillId="0" borderId="7" xfId="0" applyNumberFormat="1" applyFont="1" applyBorder="1" applyAlignment="1">
      <alignment horizontal="center" vertical="center" wrapText="1"/>
    </xf>
    <xf numFmtId="3" fontId="14" fillId="0" borderId="9" xfId="0" applyNumberFormat="1" applyFont="1" applyBorder="1" applyAlignment="1">
      <alignment horizontal="center" vertical="center" wrapText="1"/>
    </xf>
    <xf numFmtId="0" fontId="14" fillId="0" borderId="14" xfId="0" applyFont="1" applyBorder="1" applyAlignment="1">
      <alignment horizontal="center" vertical="center"/>
    </xf>
    <xf numFmtId="3" fontId="14" fillId="4" borderId="14" xfId="0" applyNumberFormat="1" applyFont="1" applyFill="1" applyBorder="1" applyAlignment="1">
      <alignment horizontal="center" vertical="center" wrapText="1"/>
    </xf>
    <xf numFmtId="0" fontId="13" fillId="4" borderId="14" xfId="0" applyFont="1" applyFill="1" applyBorder="1" applyAlignment="1">
      <alignment vertical="center"/>
    </xf>
    <xf numFmtId="3" fontId="14" fillId="4" borderId="17" xfId="0" applyNumberFormat="1" applyFont="1" applyFill="1" applyBorder="1" applyAlignment="1">
      <alignment horizontal="center" vertical="center" wrapText="1"/>
    </xf>
    <xf numFmtId="3" fontId="14" fillId="4" borderId="19" xfId="0" applyNumberFormat="1" applyFont="1" applyFill="1" applyBorder="1" applyAlignment="1">
      <alignment horizontal="center" vertical="center" wrapText="1"/>
    </xf>
    <xf numFmtId="0" fontId="22" fillId="0" borderId="8" xfId="0" applyFont="1" applyBorder="1" applyAlignment="1">
      <alignment horizontal="left" vertical="center"/>
    </xf>
    <xf numFmtId="0" fontId="22" fillId="0" borderId="9" xfId="0" applyFont="1" applyBorder="1" applyAlignment="1">
      <alignment horizontal="left" vertical="center"/>
    </xf>
    <xf numFmtId="0" fontId="13" fillId="0" borderId="14" xfId="0" applyFont="1" applyBorder="1" applyAlignment="1">
      <alignment vertical="center"/>
    </xf>
    <xf numFmtId="3" fontId="14" fillId="0" borderId="14" xfId="0" applyNumberFormat="1" applyFont="1" applyBorder="1" applyAlignment="1">
      <alignment horizontal="center" vertical="center" wrapText="1"/>
    </xf>
    <xf numFmtId="0" fontId="13" fillId="0" borderId="14" xfId="0" applyFont="1" applyBorder="1" applyAlignment="1">
      <alignment vertical="center" wrapText="1"/>
    </xf>
    <xf numFmtId="0" fontId="13" fillId="0" borderId="17" xfId="0" applyFont="1" applyBorder="1" applyAlignment="1">
      <alignment vertical="center"/>
    </xf>
    <xf numFmtId="0" fontId="13" fillId="0" borderId="18" xfId="0" applyFont="1" applyBorder="1" applyAlignment="1">
      <alignment vertical="center"/>
    </xf>
    <xf numFmtId="0" fontId="13" fillId="0" borderId="19" xfId="0" applyFont="1" applyBorder="1" applyAlignment="1">
      <alignment vertical="center"/>
    </xf>
    <xf numFmtId="3" fontId="5" fillId="0" borderId="14" xfId="0" applyNumberFormat="1" applyFont="1" applyBorder="1" applyAlignment="1">
      <alignment horizontal="center" vertical="center" wrapText="1"/>
    </xf>
    <xf numFmtId="0" fontId="7" fillId="0" borderId="14" xfId="0" applyFont="1" applyBorder="1" applyAlignment="1">
      <alignment horizontal="left" vertical="center"/>
    </xf>
    <xf numFmtId="0" fontId="7" fillId="4" borderId="17" xfId="0" applyFont="1" applyFill="1" applyBorder="1" applyAlignment="1">
      <alignment horizontal="left" vertical="center"/>
    </xf>
    <xf numFmtId="0" fontId="7" fillId="4" borderId="18" xfId="0" applyFont="1" applyFill="1" applyBorder="1" applyAlignment="1">
      <alignment horizontal="left" vertical="center"/>
    </xf>
    <xf numFmtId="0" fontId="7" fillId="4" borderId="19" xfId="0" applyFont="1" applyFill="1" applyBorder="1" applyAlignment="1">
      <alignment horizontal="left" vertical="center"/>
    </xf>
    <xf numFmtId="0" fontId="7" fillId="0" borderId="14" xfId="0" applyFont="1" applyBorder="1" applyAlignment="1">
      <alignment vertical="center"/>
    </xf>
    <xf numFmtId="0" fontId="13" fillId="4" borderId="14" xfId="0" applyFont="1" applyFill="1" applyBorder="1" applyAlignment="1">
      <alignment vertical="center" wrapText="1"/>
    </xf>
    <xf numFmtId="3" fontId="5" fillId="4" borderId="17" xfId="0" applyNumberFormat="1" applyFont="1" applyFill="1" applyBorder="1" applyAlignment="1">
      <alignment horizontal="center" vertical="center" wrapText="1"/>
    </xf>
    <xf numFmtId="3" fontId="5" fillId="4" borderId="19" xfId="0" applyNumberFormat="1" applyFont="1" applyFill="1" applyBorder="1" applyAlignment="1">
      <alignment horizontal="center" vertical="center" wrapText="1"/>
    </xf>
    <xf numFmtId="0" fontId="10" fillId="0" borderId="4" xfId="3" applyFont="1" applyBorder="1" applyAlignment="1">
      <alignment horizontal="center" vertical="center" wrapText="1"/>
    </xf>
    <xf numFmtId="0" fontId="15" fillId="0" borderId="4" xfId="4" applyFont="1" applyBorder="1" applyAlignment="1">
      <alignment horizontal="center" vertical="center" wrapText="1"/>
    </xf>
    <xf numFmtId="166" fontId="15" fillId="0" borderId="4" xfId="4" applyNumberFormat="1" applyFont="1" applyBorder="1" applyAlignment="1">
      <alignment horizontal="center" vertical="center" wrapText="1"/>
    </xf>
    <xf numFmtId="0" fontId="11" fillId="0" borderId="4" xfId="4" applyFont="1" applyBorder="1" applyAlignment="1">
      <alignment horizontal="center" vertical="center"/>
    </xf>
    <xf numFmtId="0" fontId="12" fillId="0" borderId="4" xfId="4" applyFont="1" applyBorder="1" applyAlignment="1">
      <alignment horizontal="center" vertical="center" wrapText="1"/>
    </xf>
    <xf numFmtId="14" fontId="12" fillId="0" borderId="7" xfId="4" applyNumberFormat="1" applyFont="1" applyBorder="1" applyAlignment="1">
      <alignment horizontal="center" vertical="center" wrapText="1"/>
    </xf>
    <xf numFmtId="14" fontId="12" fillId="0" borderId="9" xfId="4" applyNumberFormat="1" applyFont="1" applyBorder="1" applyAlignment="1">
      <alignment horizontal="center" vertical="center" wrapText="1"/>
    </xf>
    <xf numFmtId="0" fontId="12" fillId="0" borderId="4" xfId="4" applyFont="1" applyBorder="1" applyAlignment="1" applyProtection="1">
      <alignment horizontal="center" vertical="center"/>
      <protection locked="0"/>
    </xf>
    <xf numFmtId="3" fontId="12" fillId="0" borderId="7" xfId="3" applyNumberFormat="1" applyFont="1" applyBorder="1" applyAlignment="1">
      <alignment horizontal="center" vertical="center"/>
    </xf>
    <xf numFmtId="3" fontId="12" fillId="0" borderId="9" xfId="3" applyNumberFormat="1" applyFont="1" applyBorder="1" applyAlignment="1">
      <alignment horizontal="center" vertical="center"/>
    </xf>
    <xf numFmtId="0" fontId="12" fillId="0" borderId="4" xfId="4" quotePrefix="1" applyFont="1" applyBorder="1" applyAlignment="1">
      <alignment horizontal="center" vertical="center"/>
    </xf>
    <xf numFmtId="0" fontId="12" fillId="0" borderId="4" xfId="4" applyFont="1" applyBorder="1" applyAlignment="1">
      <alignment horizontal="center" vertical="center"/>
    </xf>
    <xf numFmtId="0" fontId="12" fillId="0" borderId="7" xfId="4" applyFont="1" applyBorder="1" applyAlignment="1" applyProtection="1">
      <alignment horizontal="center" vertical="center" wrapText="1"/>
      <protection locked="0"/>
    </xf>
    <xf numFmtId="0" fontId="12" fillId="0" borderId="9" xfId="4" applyFont="1" applyBorder="1" applyAlignment="1" applyProtection="1">
      <alignment horizontal="center" vertical="center" wrapText="1"/>
      <protection locked="0"/>
    </xf>
    <xf numFmtId="0" fontId="8" fillId="6" borderId="17" xfId="0" applyFont="1" applyFill="1" applyBorder="1" applyAlignment="1">
      <alignment horizontal="center" vertical="center"/>
    </xf>
    <xf numFmtId="0" fontId="8" fillId="6" borderId="18" xfId="0" applyFont="1" applyFill="1" applyBorder="1" applyAlignment="1">
      <alignment horizontal="center" vertical="center"/>
    </xf>
    <xf numFmtId="0" fontId="8" fillId="6" borderId="19" xfId="0" applyFont="1" applyFill="1" applyBorder="1" applyAlignment="1">
      <alignment horizontal="center" vertical="center"/>
    </xf>
    <xf numFmtId="3" fontId="14" fillId="0" borderId="1" xfId="0" applyNumberFormat="1" applyFont="1" applyBorder="1" applyAlignment="1">
      <alignment horizontal="center" vertical="center" wrapText="1"/>
    </xf>
    <xf numFmtId="3" fontId="14" fillId="0" borderId="28" xfId="0" applyNumberFormat="1" applyFont="1" applyBorder="1" applyAlignment="1">
      <alignment horizontal="center" vertical="center" wrapText="1"/>
    </xf>
    <xf numFmtId="3" fontId="14" fillId="0" borderId="16" xfId="0" applyNumberFormat="1" applyFont="1" applyBorder="1" applyAlignment="1">
      <alignment horizontal="center" vertical="center" wrapText="1"/>
    </xf>
    <xf numFmtId="0" fontId="12" fillId="0" borderId="13" xfId="0" applyFont="1" applyBorder="1" applyAlignment="1">
      <alignment horizontal="center" vertical="center"/>
    </xf>
    <xf numFmtId="0" fontId="12" fillId="0" borderId="13" xfId="0" applyFont="1" applyBorder="1" applyAlignment="1">
      <alignment horizontal="center" vertical="center" wrapText="1"/>
    </xf>
    <xf numFmtId="0" fontId="22" fillId="0" borderId="8" xfId="0" applyFont="1" applyFill="1" applyBorder="1" applyAlignment="1">
      <alignment horizontal="left" vertical="center"/>
    </xf>
    <xf numFmtId="0" fontId="22" fillId="0" borderId="9" xfId="0" applyFont="1" applyFill="1" applyBorder="1" applyAlignment="1">
      <alignment horizontal="left" vertical="center"/>
    </xf>
    <xf numFmtId="0" fontId="22" fillId="0" borderId="7" xfId="0" applyFont="1" applyFill="1" applyBorder="1" applyAlignment="1">
      <alignment horizontal="left" vertical="center" wrapText="1"/>
    </xf>
    <xf numFmtId="0" fontId="22" fillId="0" borderId="8" xfId="0" applyFont="1" applyFill="1" applyBorder="1" applyAlignment="1">
      <alignment horizontal="left" vertical="center" wrapText="1"/>
    </xf>
    <xf numFmtId="0" fontId="22" fillId="0" borderId="9" xfId="0" applyFont="1" applyFill="1" applyBorder="1" applyAlignment="1">
      <alignment horizontal="left" vertical="center" wrapText="1"/>
    </xf>
    <xf numFmtId="0" fontId="13" fillId="0" borderId="21" xfId="0" applyFont="1" applyBorder="1" applyAlignment="1">
      <alignment horizontal="left" vertical="center"/>
    </xf>
    <xf numFmtId="0" fontId="13" fillId="0" borderId="22" xfId="0" applyFont="1" applyBorder="1" applyAlignment="1">
      <alignment horizontal="left" vertical="center"/>
    </xf>
    <xf numFmtId="0" fontId="13" fillId="0" borderId="23" xfId="0" applyFont="1" applyBorder="1" applyAlignment="1">
      <alignment horizontal="left" vertical="center"/>
    </xf>
    <xf numFmtId="3" fontId="21" fillId="0" borderId="14" xfId="0" applyNumberFormat="1" applyFont="1" applyBorder="1" applyAlignment="1">
      <alignment horizontal="center" vertical="center" wrapText="1"/>
    </xf>
    <xf numFmtId="0" fontId="14" fillId="0" borderId="14" xfId="0" applyFont="1" applyBorder="1" applyAlignment="1">
      <alignment horizontal="center" vertical="center"/>
    </xf>
    <xf numFmtId="0" fontId="13" fillId="0" borderId="20" xfId="0" applyFont="1" applyBorder="1" applyAlignment="1">
      <alignment vertical="center"/>
    </xf>
    <xf numFmtId="0" fontId="13" fillId="0" borderId="17" xfId="0" applyFont="1" applyBorder="1" applyAlignment="1">
      <alignment horizontal="left" vertical="center" wrapText="1"/>
    </xf>
    <xf numFmtId="0" fontId="13" fillId="0" borderId="18" xfId="0" applyFont="1" applyBorder="1" applyAlignment="1">
      <alignment horizontal="left" vertical="center" wrapText="1"/>
    </xf>
    <xf numFmtId="0" fontId="13" fillId="0" borderId="19" xfId="0" applyFont="1" applyBorder="1" applyAlignment="1">
      <alignment horizontal="left" vertical="center" wrapText="1"/>
    </xf>
    <xf numFmtId="0" fontId="13" fillId="0" borderId="7" xfId="0" applyFont="1" applyFill="1" applyBorder="1" applyAlignment="1">
      <alignment horizontal="left" vertical="center" wrapText="1"/>
    </xf>
    <xf numFmtId="0" fontId="20" fillId="5" borderId="24" xfId="0" applyFont="1" applyFill="1" applyBorder="1" applyAlignment="1">
      <alignment horizontal="center" vertical="center"/>
    </xf>
    <xf numFmtId="0" fontId="20" fillId="5" borderId="29" xfId="0" applyFont="1" applyFill="1" applyBorder="1" applyAlignment="1">
      <alignment horizontal="center" vertical="center"/>
    </xf>
    <xf numFmtId="0" fontId="20" fillId="5" borderId="25" xfId="0" applyFont="1" applyFill="1" applyBorder="1" applyAlignment="1">
      <alignment horizontal="center" vertical="center"/>
    </xf>
    <xf numFmtId="0" fontId="15" fillId="0" borderId="0" xfId="3" applyFont="1" applyAlignment="1">
      <alignment horizontal="center" vertical="center"/>
    </xf>
    <xf numFmtId="3" fontId="21" fillId="0" borderId="17" xfId="0" applyNumberFormat="1" applyFont="1" applyBorder="1" applyAlignment="1">
      <alignment horizontal="center" vertical="center" wrapText="1"/>
    </xf>
    <xf numFmtId="3" fontId="14" fillId="0" borderId="19" xfId="0" applyNumberFormat="1" applyFont="1" applyBorder="1" applyAlignment="1">
      <alignment horizontal="center" vertical="center" wrapText="1"/>
    </xf>
    <xf numFmtId="3" fontId="14" fillId="0" borderId="17" xfId="0" applyNumberFormat="1" applyFont="1" applyBorder="1" applyAlignment="1">
      <alignment horizontal="center" vertical="center" wrapText="1"/>
    </xf>
    <xf numFmtId="0" fontId="21" fillId="0" borderId="14" xfId="0" applyFont="1" applyBorder="1" applyAlignment="1">
      <alignment horizontal="center" vertical="center"/>
    </xf>
    <xf numFmtId="0" fontId="20" fillId="4" borderId="26" xfId="0" applyFont="1" applyFill="1" applyBorder="1" applyAlignment="1">
      <alignment horizontal="center" vertical="center"/>
    </xf>
    <xf numFmtId="0" fontId="20" fillId="4" borderId="0" xfId="0" applyFont="1" applyFill="1" applyBorder="1" applyAlignment="1">
      <alignment horizontal="center" vertical="center"/>
    </xf>
    <xf numFmtId="0" fontId="20" fillId="4" borderId="27" xfId="0" applyFont="1" applyFill="1" applyBorder="1" applyAlignment="1">
      <alignment horizontal="center" vertical="center"/>
    </xf>
    <xf numFmtId="3" fontId="14" fillId="0" borderId="10" xfId="0" applyNumberFormat="1" applyFont="1" applyBorder="1" applyAlignment="1">
      <alignment horizontal="center" vertical="center" wrapText="1"/>
    </xf>
    <xf numFmtId="3" fontId="14" fillId="0" borderId="12" xfId="0" applyNumberFormat="1" applyFont="1" applyBorder="1" applyAlignment="1">
      <alignment horizontal="center" vertical="center" wrapText="1"/>
    </xf>
    <xf numFmtId="3" fontId="14" fillId="0" borderId="26" xfId="0" applyNumberFormat="1" applyFont="1" applyBorder="1" applyAlignment="1">
      <alignment horizontal="center" vertical="center" wrapText="1"/>
    </xf>
    <xf numFmtId="3" fontId="14" fillId="0" borderId="27" xfId="0" applyNumberFormat="1" applyFont="1" applyBorder="1" applyAlignment="1">
      <alignment horizontal="center" vertical="center" wrapText="1"/>
    </xf>
    <xf numFmtId="3" fontId="14" fillId="0" borderId="2" xfId="0" applyNumberFormat="1" applyFont="1" applyBorder="1" applyAlignment="1">
      <alignment horizontal="center" vertical="center" wrapText="1"/>
    </xf>
    <xf numFmtId="3" fontId="14" fillId="0" borderId="6" xfId="0" applyNumberFormat="1" applyFont="1" applyBorder="1" applyAlignment="1">
      <alignment horizontal="center" vertical="center" wrapText="1"/>
    </xf>
    <xf numFmtId="0" fontId="13" fillId="0" borderId="8" xfId="0" applyFont="1" applyFill="1" applyBorder="1" applyAlignment="1">
      <alignment horizontal="left" vertical="center"/>
    </xf>
    <xf numFmtId="164" fontId="1" fillId="2" borderId="3" xfId="0" applyNumberFormat="1" applyFont="1" applyFill="1" applyBorder="1" applyAlignment="1">
      <alignment horizontal="center"/>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0" xfId="0" applyFont="1" applyAlignment="1">
      <alignment horizontal="right" vertical="top"/>
    </xf>
    <xf numFmtId="0" fontId="6" fillId="0" borderId="0" xfId="0" applyFont="1" applyAlignment="1">
      <alignment horizontal="center" vertical="top"/>
    </xf>
    <xf numFmtId="0" fontId="6" fillId="0" borderId="1" xfId="0" applyFont="1" applyBorder="1" applyAlignment="1">
      <alignment horizontal="center" vertical="center"/>
    </xf>
    <xf numFmtId="0" fontId="6" fillId="0" borderId="5" xfId="0" applyFont="1" applyBorder="1" applyAlignment="1">
      <alignment horizontal="center" vertical="center"/>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3" fillId="2" borderId="1" xfId="0" applyFont="1" applyFill="1" applyBorder="1" applyAlignment="1">
      <alignment horizontal="center" wrapText="1"/>
    </xf>
    <xf numFmtId="0" fontId="3" fillId="2" borderId="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2" borderId="0" xfId="0" applyFont="1" applyFill="1" applyAlignment="1">
      <alignment horizontal="center" vertical="center"/>
    </xf>
    <xf numFmtId="0" fontId="5" fillId="2" borderId="0" xfId="0" applyFont="1" applyFill="1" applyAlignment="1">
      <alignment horizontal="right" vertical="center"/>
    </xf>
    <xf numFmtId="164" fontId="1" fillId="2" borderId="0" xfId="0" applyNumberFormat="1" applyFont="1" applyFill="1" applyAlignment="1">
      <alignment horizontal="center"/>
    </xf>
    <xf numFmtId="0" fontId="2" fillId="2" borderId="0" xfId="0" applyFont="1" applyFill="1" applyAlignment="1">
      <alignment horizontal="center" vertical="top" wrapText="1"/>
    </xf>
    <xf numFmtId="0" fontId="4" fillId="2" borderId="0" xfId="0" applyFont="1" applyFill="1" applyAlignment="1">
      <alignment horizontal="center" vertical="center"/>
    </xf>
  </cellXfs>
  <cellStyles count="6">
    <cellStyle name="Comma 2" xfId="1"/>
    <cellStyle name="Normal" xfId="0" builtinId="0"/>
    <cellStyle name="Normal - Style1" xfId="2"/>
    <cellStyle name="Normal 2" xfId="3"/>
    <cellStyle name="Normal 2 3" xfId="4"/>
    <cellStyle name="Normal 3 2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114299</xdr:colOff>
      <xdr:row>0</xdr:row>
      <xdr:rowOff>57149</xdr:rowOff>
    </xdr:from>
    <xdr:to>
      <xdr:col>3</xdr:col>
      <xdr:colOff>1456945</xdr:colOff>
      <xdr:row>1</xdr:row>
      <xdr:rowOff>495299</xdr:rowOff>
    </xdr:to>
    <xdr:pic>
      <xdr:nvPicPr>
        <xdr:cNvPr id="2" name="Picture 1">
          <a:extLst>
            <a:ext uri="{FF2B5EF4-FFF2-40B4-BE49-F238E27FC236}">
              <a16:creationId xmlns="" xmlns:a16="http://schemas.microsoft.com/office/drawing/2014/main" id="{A29E6DB6-0C4E-452C-ADC9-B4112F0308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4" y="57149"/>
          <a:ext cx="2133221" cy="981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0</xdr:row>
      <xdr:rowOff>107950</xdr:rowOff>
    </xdr:from>
    <xdr:to>
      <xdr:col>1</xdr:col>
      <xdr:colOff>529590</xdr:colOff>
      <xdr:row>5</xdr:row>
      <xdr:rowOff>77607</xdr:rowOff>
    </xdr:to>
    <xdr:pic>
      <xdr:nvPicPr>
        <xdr:cNvPr id="4" name="Picture 63">
          <a:extLst>
            <a:ext uri="{FF2B5EF4-FFF2-40B4-BE49-F238E27FC236}">
              <a16:creationId xmlns=""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3500" y="107950"/>
          <a:ext cx="769620" cy="741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107950</xdr:rowOff>
    </xdr:from>
    <xdr:to>
      <xdr:col>1</xdr:col>
      <xdr:colOff>466090</xdr:colOff>
      <xdr:row>5</xdr:row>
      <xdr:rowOff>77607</xdr:rowOff>
    </xdr:to>
    <xdr:pic>
      <xdr:nvPicPr>
        <xdr:cNvPr id="4" name="Picture 63">
          <a:extLst>
            <a:ext uri="{FF2B5EF4-FFF2-40B4-BE49-F238E27FC236}">
              <a16:creationId xmlns=""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107950"/>
          <a:ext cx="769620" cy="741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NAM%202019\BAO%20GIA\THANG%209\C&#212;NG%20VI&#7878;C\CK%20N&#218;I%20TH&#192;NH\C%20T&#205;NH%20KH&#7888;I%20L&#431;&#7906;NG\FILE%20B&#193;O%20GI&#193;%20M&#7850;U\Calculation%20material%20tank%20100L(Hoa%20Keo)%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0L"/>
      <sheetName val="he so gia"/>
    </sheetNames>
    <sheetDataSet>
      <sheetData sheetId="0">
        <row r="3">
          <cell r="D3">
            <v>1.1299999999999999</v>
          </cell>
        </row>
      </sheetData>
      <sheetData sheetId="1" refreshError="1">
        <row r="3">
          <cell r="D3">
            <v>1.1299999999999999</v>
          </cell>
        </row>
        <row r="20">
          <cell r="D20">
            <v>100000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applyStyles="1" summaryBelow="0" summaryRight="0"/>
  </sheetPr>
  <dimension ref="A1:X78"/>
  <sheetViews>
    <sheetView showGridLines="0" tabSelected="1" topLeftCell="A6" zoomScale="90" zoomScaleNormal="90" workbookViewId="0">
      <selection activeCell="M39" sqref="M39:N39"/>
    </sheetView>
  </sheetViews>
  <sheetFormatPr defaultColWidth="9" defaultRowHeight="15.75"/>
  <cols>
    <col min="1" max="1" width="5.5703125" style="14" customWidth="1"/>
    <col min="2" max="2" width="24.28515625" style="14" customWidth="1"/>
    <col min="3" max="3" width="11.85546875" style="15" customWidth="1"/>
    <col min="4" max="4" width="30.140625" style="15" customWidth="1"/>
    <col min="5" max="5" width="7.140625" style="15" customWidth="1"/>
    <col min="6" max="6" width="10.28515625" style="15" customWidth="1"/>
    <col min="7" max="7" width="10.140625" style="15" customWidth="1"/>
    <col min="8" max="8" width="9.28515625" style="14" customWidth="1"/>
    <col min="9" max="10" width="10.5703125" style="14" customWidth="1"/>
    <col min="11" max="11" width="8.28515625" style="14" customWidth="1"/>
    <col min="12" max="12" width="9.85546875" style="14" hidden="1" customWidth="1"/>
    <col min="13" max="13" width="10.85546875" style="14" customWidth="1"/>
    <col min="14" max="14" width="23.85546875" style="14" customWidth="1"/>
    <col min="15" max="15" width="18.42578125" style="14" customWidth="1"/>
    <col min="16" max="18" width="9" style="14"/>
    <col min="19" max="19" width="11.140625" style="14" customWidth="1"/>
    <col min="20" max="22" width="9" style="14"/>
    <col min="23" max="24" width="0" style="14" hidden="1" customWidth="1"/>
    <col min="25" max="232" width="9" style="14"/>
    <col min="233" max="233" width="4.85546875" style="14" customWidth="1"/>
    <col min="234" max="234" width="11.140625" style="14" customWidth="1"/>
    <col min="235" max="235" width="25.140625" style="14" customWidth="1"/>
    <col min="236" max="236" width="13.5703125" style="14" customWidth="1"/>
    <col min="237" max="237" width="15.42578125" style="14" customWidth="1"/>
    <col min="238" max="238" width="20.85546875" style="14" customWidth="1"/>
    <col min="239" max="239" width="24.140625" style="14" customWidth="1"/>
    <col min="240" max="240" width="27.85546875" style="14" customWidth="1"/>
    <col min="241" max="241" width="12" style="14" customWidth="1"/>
    <col min="242" max="242" width="15" style="14" customWidth="1"/>
    <col min="243" max="488" width="9" style="14"/>
    <col min="489" max="489" width="4.85546875" style="14" customWidth="1"/>
    <col min="490" max="490" width="11.140625" style="14" customWidth="1"/>
    <col min="491" max="491" width="25.140625" style="14" customWidth="1"/>
    <col min="492" max="492" width="13.5703125" style="14" customWidth="1"/>
    <col min="493" max="493" width="15.42578125" style="14" customWidth="1"/>
    <col min="494" max="494" width="20.85546875" style="14" customWidth="1"/>
    <col min="495" max="495" width="24.140625" style="14" customWidth="1"/>
    <col min="496" max="496" width="27.85546875" style="14" customWidth="1"/>
    <col min="497" max="497" width="12" style="14" customWidth="1"/>
    <col min="498" max="498" width="15" style="14" customWidth="1"/>
    <col min="499" max="744" width="9" style="14"/>
    <col min="745" max="745" width="4.85546875" style="14" customWidth="1"/>
    <col min="746" max="746" width="11.140625" style="14" customWidth="1"/>
    <col min="747" max="747" width="25.140625" style="14" customWidth="1"/>
    <col min="748" max="748" width="13.5703125" style="14" customWidth="1"/>
    <col min="749" max="749" width="15.42578125" style="14" customWidth="1"/>
    <col min="750" max="750" width="20.85546875" style="14" customWidth="1"/>
    <col min="751" max="751" width="24.140625" style="14" customWidth="1"/>
    <col min="752" max="752" width="27.85546875" style="14" customWidth="1"/>
    <col min="753" max="753" width="12" style="14" customWidth="1"/>
    <col min="754" max="754" width="15" style="14" customWidth="1"/>
    <col min="755" max="1000" width="9" style="14"/>
    <col min="1001" max="1001" width="4.85546875" style="14" customWidth="1"/>
    <col min="1002" max="1002" width="11.140625" style="14" customWidth="1"/>
    <col min="1003" max="1003" width="25.140625" style="14" customWidth="1"/>
    <col min="1004" max="1004" width="13.5703125" style="14" customWidth="1"/>
    <col min="1005" max="1005" width="15.42578125" style="14" customWidth="1"/>
    <col min="1006" max="1006" width="20.85546875" style="14" customWidth="1"/>
    <col min="1007" max="1007" width="24.140625" style="14" customWidth="1"/>
    <col min="1008" max="1008" width="27.85546875" style="14" customWidth="1"/>
    <col min="1009" max="1009" width="12" style="14" customWidth="1"/>
    <col min="1010" max="1010" width="15" style="14" customWidth="1"/>
    <col min="1011" max="1256" width="9" style="14"/>
    <col min="1257" max="1257" width="4.85546875" style="14" customWidth="1"/>
    <col min="1258" max="1258" width="11.140625" style="14" customWidth="1"/>
    <col min="1259" max="1259" width="25.140625" style="14" customWidth="1"/>
    <col min="1260" max="1260" width="13.5703125" style="14" customWidth="1"/>
    <col min="1261" max="1261" width="15.42578125" style="14" customWidth="1"/>
    <col min="1262" max="1262" width="20.85546875" style="14" customWidth="1"/>
    <col min="1263" max="1263" width="24.140625" style="14" customWidth="1"/>
    <col min="1264" max="1264" width="27.85546875" style="14" customWidth="1"/>
    <col min="1265" max="1265" width="12" style="14" customWidth="1"/>
    <col min="1266" max="1266" width="15" style="14" customWidth="1"/>
    <col min="1267" max="1512" width="9" style="14"/>
    <col min="1513" max="1513" width="4.85546875" style="14" customWidth="1"/>
    <col min="1514" max="1514" width="11.140625" style="14" customWidth="1"/>
    <col min="1515" max="1515" width="25.140625" style="14" customWidth="1"/>
    <col min="1516" max="1516" width="13.5703125" style="14" customWidth="1"/>
    <col min="1517" max="1517" width="15.42578125" style="14" customWidth="1"/>
    <col min="1518" max="1518" width="20.85546875" style="14" customWidth="1"/>
    <col min="1519" max="1519" width="24.140625" style="14" customWidth="1"/>
    <col min="1520" max="1520" width="27.85546875" style="14" customWidth="1"/>
    <col min="1521" max="1521" width="12" style="14" customWidth="1"/>
    <col min="1522" max="1522" width="15" style="14" customWidth="1"/>
    <col min="1523" max="1768" width="9" style="14"/>
    <col min="1769" max="1769" width="4.85546875" style="14" customWidth="1"/>
    <col min="1770" max="1770" width="11.140625" style="14" customWidth="1"/>
    <col min="1771" max="1771" width="25.140625" style="14" customWidth="1"/>
    <col min="1772" max="1772" width="13.5703125" style="14" customWidth="1"/>
    <col min="1773" max="1773" width="15.42578125" style="14" customWidth="1"/>
    <col min="1774" max="1774" width="20.85546875" style="14" customWidth="1"/>
    <col min="1775" max="1775" width="24.140625" style="14" customWidth="1"/>
    <col min="1776" max="1776" width="27.85546875" style="14" customWidth="1"/>
    <col min="1777" max="1777" width="12" style="14" customWidth="1"/>
    <col min="1778" max="1778" width="15" style="14" customWidth="1"/>
    <col min="1779" max="2024" width="9" style="14"/>
    <col min="2025" max="2025" width="4.85546875" style="14" customWidth="1"/>
    <col min="2026" max="2026" width="11.140625" style="14" customWidth="1"/>
    <col min="2027" max="2027" width="25.140625" style="14" customWidth="1"/>
    <col min="2028" max="2028" width="13.5703125" style="14" customWidth="1"/>
    <col min="2029" max="2029" width="15.42578125" style="14" customWidth="1"/>
    <col min="2030" max="2030" width="20.85546875" style="14" customWidth="1"/>
    <col min="2031" max="2031" width="24.140625" style="14" customWidth="1"/>
    <col min="2032" max="2032" width="27.85546875" style="14" customWidth="1"/>
    <col min="2033" max="2033" width="12" style="14" customWidth="1"/>
    <col min="2034" max="2034" width="15" style="14" customWidth="1"/>
    <col min="2035" max="2280" width="9" style="14"/>
    <col min="2281" max="2281" width="4.85546875" style="14" customWidth="1"/>
    <col min="2282" max="2282" width="11.140625" style="14" customWidth="1"/>
    <col min="2283" max="2283" width="25.140625" style="14" customWidth="1"/>
    <col min="2284" max="2284" width="13.5703125" style="14" customWidth="1"/>
    <col min="2285" max="2285" width="15.42578125" style="14" customWidth="1"/>
    <col min="2286" max="2286" width="20.85546875" style="14" customWidth="1"/>
    <col min="2287" max="2287" width="24.140625" style="14" customWidth="1"/>
    <col min="2288" max="2288" width="27.85546875" style="14" customWidth="1"/>
    <col min="2289" max="2289" width="12" style="14" customWidth="1"/>
    <col min="2290" max="2290" width="15" style="14" customWidth="1"/>
    <col min="2291" max="2536" width="9" style="14"/>
    <col min="2537" max="2537" width="4.85546875" style="14" customWidth="1"/>
    <col min="2538" max="2538" width="11.140625" style="14" customWidth="1"/>
    <col min="2539" max="2539" width="25.140625" style="14" customWidth="1"/>
    <col min="2540" max="2540" width="13.5703125" style="14" customWidth="1"/>
    <col min="2541" max="2541" width="15.42578125" style="14" customWidth="1"/>
    <col min="2542" max="2542" width="20.85546875" style="14" customWidth="1"/>
    <col min="2543" max="2543" width="24.140625" style="14" customWidth="1"/>
    <col min="2544" max="2544" width="27.85546875" style="14" customWidth="1"/>
    <col min="2545" max="2545" width="12" style="14" customWidth="1"/>
    <col min="2546" max="2546" width="15" style="14" customWidth="1"/>
    <col min="2547" max="2792" width="9" style="14"/>
    <col min="2793" max="2793" width="4.85546875" style="14" customWidth="1"/>
    <col min="2794" max="2794" width="11.140625" style="14" customWidth="1"/>
    <col min="2795" max="2795" width="25.140625" style="14" customWidth="1"/>
    <col min="2796" max="2796" width="13.5703125" style="14" customWidth="1"/>
    <col min="2797" max="2797" width="15.42578125" style="14" customWidth="1"/>
    <col min="2798" max="2798" width="20.85546875" style="14" customWidth="1"/>
    <col min="2799" max="2799" width="24.140625" style="14" customWidth="1"/>
    <col min="2800" max="2800" width="27.85546875" style="14" customWidth="1"/>
    <col min="2801" max="2801" width="12" style="14" customWidth="1"/>
    <col min="2802" max="2802" width="15" style="14" customWidth="1"/>
    <col min="2803" max="3048" width="9" style="14"/>
    <col min="3049" max="3049" width="4.85546875" style="14" customWidth="1"/>
    <col min="3050" max="3050" width="11.140625" style="14" customWidth="1"/>
    <col min="3051" max="3051" width="25.140625" style="14" customWidth="1"/>
    <col min="3052" max="3052" width="13.5703125" style="14" customWidth="1"/>
    <col min="3053" max="3053" width="15.42578125" style="14" customWidth="1"/>
    <col min="3054" max="3054" width="20.85546875" style="14" customWidth="1"/>
    <col min="3055" max="3055" width="24.140625" style="14" customWidth="1"/>
    <col min="3056" max="3056" width="27.85546875" style="14" customWidth="1"/>
    <col min="3057" max="3057" width="12" style="14" customWidth="1"/>
    <col min="3058" max="3058" width="15" style="14" customWidth="1"/>
    <col min="3059" max="3304" width="9" style="14"/>
    <col min="3305" max="3305" width="4.85546875" style="14" customWidth="1"/>
    <col min="3306" max="3306" width="11.140625" style="14" customWidth="1"/>
    <col min="3307" max="3307" width="25.140625" style="14" customWidth="1"/>
    <col min="3308" max="3308" width="13.5703125" style="14" customWidth="1"/>
    <col min="3309" max="3309" width="15.42578125" style="14" customWidth="1"/>
    <col min="3310" max="3310" width="20.85546875" style="14" customWidth="1"/>
    <col min="3311" max="3311" width="24.140625" style="14" customWidth="1"/>
    <col min="3312" max="3312" width="27.85546875" style="14" customWidth="1"/>
    <col min="3313" max="3313" width="12" style="14" customWidth="1"/>
    <col min="3314" max="3314" width="15" style="14" customWidth="1"/>
    <col min="3315" max="3560" width="9" style="14"/>
    <col min="3561" max="3561" width="4.85546875" style="14" customWidth="1"/>
    <col min="3562" max="3562" width="11.140625" style="14" customWidth="1"/>
    <col min="3563" max="3563" width="25.140625" style="14" customWidth="1"/>
    <col min="3564" max="3564" width="13.5703125" style="14" customWidth="1"/>
    <col min="3565" max="3565" width="15.42578125" style="14" customWidth="1"/>
    <col min="3566" max="3566" width="20.85546875" style="14" customWidth="1"/>
    <col min="3567" max="3567" width="24.140625" style="14" customWidth="1"/>
    <col min="3568" max="3568" width="27.85546875" style="14" customWidth="1"/>
    <col min="3569" max="3569" width="12" style="14" customWidth="1"/>
    <col min="3570" max="3570" width="15" style="14" customWidth="1"/>
    <col min="3571" max="3816" width="9" style="14"/>
    <col min="3817" max="3817" width="4.85546875" style="14" customWidth="1"/>
    <col min="3818" max="3818" width="11.140625" style="14" customWidth="1"/>
    <col min="3819" max="3819" width="25.140625" style="14" customWidth="1"/>
    <col min="3820" max="3820" width="13.5703125" style="14" customWidth="1"/>
    <col min="3821" max="3821" width="15.42578125" style="14" customWidth="1"/>
    <col min="3822" max="3822" width="20.85546875" style="14" customWidth="1"/>
    <col min="3823" max="3823" width="24.140625" style="14" customWidth="1"/>
    <col min="3824" max="3824" width="27.85546875" style="14" customWidth="1"/>
    <col min="3825" max="3825" width="12" style="14" customWidth="1"/>
    <col min="3826" max="3826" width="15" style="14" customWidth="1"/>
    <col min="3827" max="4072" width="9" style="14"/>
    <col min="4073" max="4073" width="4.85546875" style="14" customWidth="1"/>
    <col min="4074" max="4074" width="11.140625" style="14" customWidth="1"/>
    <col min="4075" max="4075" width="25.140625" style="14" customWidth="1"/>
    <col min="4076" max="4076" width="13.5703125" style="14" customWidth="1"/>
    <col min="4077" max="4077" width="15.42578125" style="14" customWidth="1"/>
    <col min="4078" max="4078" width="20.85546875" style="14" customWidth="1"/>
    <col min="4079" max="4079" width="24.140625" style="14" customWidth="1"/>
    <col min="4080" max="4080" width="27.85546875" style="14" customWidth="1"/>
    <col min="4081" max="4081" width="12" style="14" customWidth="1"/>
    <col min="4082" max="4082" width="15" style="14" customWidth="1"/>
    <col min="4083" max="4328" width="9" style="14"/>
    <col min="4329" max="4329" width="4.85546875" style="14" customWidth="1"/>
    <col min="4330" max="4330" width="11.140625" style="14" customWidth="1"/>
    <col min="4331" max="4331" width="25.140625" style="14" customWidth="1"/>
    <col min="4332" max="4332" width="13.5703125" style="14" customWidth="1"/>
    <col min="4333" max="4333" width="15.42578125" style="14" customWidth="1"/>
    <col min="4334" max="4334" width="20.85546875" style="14" customWidth="1"/>
    <col min="4335" max="4335" width="24.140625" style="14" customWidth="1"/>
    <col min="4336" max="4336" width="27.85546875" style="14" customWidth="1"/>
    <col min="4337" max="4337" width="12" style="14" customWidth="1"/>
    <col min="4338" max="4338" width="15" style="14" customWidth="1"/>
    <col min="4339" max="4584" width="9" style="14"/>
    <col min="4585" max="4585" width="4.85546875" style="14" customWidth="1"/>
    <col min="4586" max="4586" width="11.140625" style="14" customWidth="1"/>
    <col min="4587" max="4587" width="25.140625" style="14" customWidth="1"/>
    <col min="4588" max="4588" width="13.5703125" style="14" customWidth="1"/>
    <col min="4589" max="4589" width="15.42578125" style="14" customWidth="1"/>
    <col min="4590" max="4590" width="20.85546875" style="14" customWidth="1"/>
    <col min="4591" max="4591" width="24.140625" style="14" customWidth="1"/>
    <col min="4592" max="4592" width="27.85546875" style="14" customWidth="1"/>
    <col min="4593" max="4593" width="12" style="14" customWidth="1"/>
    <col min="4594" max="4594" width="15" style="14" customWidth="1"/>
    <col min="4595" max="4840" width="9" style="14"/>
    <col min="4841" max="4841" width="4.85546875" style="14" customWidth="1"/>
    <col min="4842" max="4842" width="11.140625" style="14" customWidth="1"/>
    <col min="4843" max="4843" width="25.140625" style="14" customWidth="1"/>
    <col min="4844" max="4844" width="13.5703125" style="14" customWidth="1"/>
    <col min="4845" max="4845" width="15.42578125" style="14" customWidth="1"/>
    <col min="4846" max="4846" width="20.85546875" style="14" customWidth="1"/>
    <col min="4847" max="4847" width="24.140625" style="14" customWidth="1"/>
    <col min="4848" max="4848" width="27.85546875" style="14" customWidth="1"/>
    <col min="4849" max="4849" width="12" style="14" customWidth="1"/>
    <col min="4850" max="4850" width="15" style="14" customWidth="1"/>
    <col min="4851" max="5096" width="9" style="14"/>
    <col min="5097" max="5097" width="4.85546875" style="14" customWidth="1"/>
    <col min="5098" max="5098" width="11.140625" style="14" customWidth="1"/>
    <col min="5099" max="5099" width="25.140625" style="14" customWidth="1"/>
    <col min="5100" max="5100" width="13.5703125" style="14" customWidth="1"/>
    <col min="5101" max="5101" width="15.42578125" style="14" customWidth="1"/>
    <col min="5102" max="5102" width="20.85546875" style="14" customWidth="1"/>
    <col min="5103" max="5103" width="24.140625" style="14" customWidth="1"/>
    <col min="5104" max="5104" width="27.85546875" style="14" customWidth="1"/>
    <col min="5105" max="5105" width="12" style="14" customWidth="1"/>
    <col min="5106" max="5106" width="15" style="14" customWidth="1"/>
    <col min="5107" max="5352" width="9" style="14"/>
    <col min="5353" max="5353" width="4.85546875" style="14" customWidth="1"/>
    <col min="5354" max="5354" width="11.140625" style="14" customWidth="1"/>
    <col min="5355" max="5355" width="25.140625" style="14" customWidth="1"/>
    <col min="5356" max="5356" width="13.5703125" style="14" customWidth="1"/>
    <col min="5357" max="5357" width="15.42578125" style="14" customWidth="1"/>
    <col min="5358" max="5358" width="20.85546875" style="14" customWidth="1"/>
    <col min="5359" max="5359" width="24.140625" style="14" customWidth="1"/>
    <col min="5360" max="5360" width="27.85546875" style="14" customWidth="1"/>
    <col min="5361" max="5361" width="12" style="14" customWidth="1"/>
    <col min="5362" max="5362" width="15" style="14" customWidth="1"/>
    <col min="5363" max="5608" width="9" style="14"/>
    <col min="5609" max="5609" width="4.85546875" style="14" customWidth="1"/>
    <col min="5610" max="5610" width="11.140625" style="14" customWidth="1"/>
    <col min="5611" max="5611" width="25.140625" style="14" customWidth="1"/>
    <col min="5612" max="5612" width="13.5703125" style="14" customWidth="1"/>
    <col min="5613" max="5613" width="15.42578125" style="14" customWidth="1"/>
    <col min="5614" max="5614" width="20.85546875" style="14" customWidth="1"/>
    <col min="5615" max="5615" width="24.140625" style="14" customWidth="1"/>
    <col min="5616" max="5616" width="27.85546875" style="14" customWidth="1"/>
    <col min="5617" max="5617" width="12" style="14" customWidth="1"/>
    <col min="5618" max="5618" width="15" style="14" customWidth="1"/>
    <col min="5619" max="5864" width="9" style="14"/>
    <col min="5865" max="5865" width="4.85546875" style="14" customWidth="1"/>
    <col min="5866" max="5866" width="11.140625" style="14" customWidth="1"/>
    <col min="5867" max="5867" width="25.140625" style="14" customWidth="1"/>
    <col min="5868" max="5868" width="13.5703125" style="14" customWidth="1"/>
    <col min="5869" max="5869" width="15.42578125" style="14" customWidth="1"/>
    <col min="5870" max="5870" width="20.85546875" style="14" customWidth="1"/>
    <col min="5871" max="5871" width="24.140625" style="14" customWidth="1"/>
    <col min="5872" max="5872" width="27.85546875" style="14" customWidth="1"/>
    <col min="5873" max="5873" width="12" style="14" customWidth="1"/>
    <col min="5874" max="5874" width="15" style="14" customWidth="1"/>
    <col min="5875" max="6120" width="9" style="14"/>
    <col min="6121" max="6121" width="4.85546875" style="14" customWidth="1"/>
    <col min="6122" max="6122" width="11.140625" style="14" customWidth="1"/>
    <col min="6123" max="6123" width="25.140625" style="14" customWidth="1"/>
    <col min="6124" max="6124" width="13.5703125" style="14" customWidth="1"/>
    <col min="6125" max="6125" width="15.42578125" style="14" customWidth="1"/>
    <col min="6126" max="6126" width="20.85546875" style="14" customWidth="1"/>
    <col min="6127" max="6127" width="24.140625" style="14" customWidth="1"/>
    <col min="6128" max="6128" width="27.85546875" style="14" customWidth="1"/>
    <col min="6129" max="6129" width="12" style="14" customWidth="1"/>
    <col min="6130" max="6130" width="15" style="14" customWidth="1"/>
    <col min="6131" max="6376" width="9" style="14"/>
    <col min="6377" max="6377" width="4.85546875" style="14" customWidth="1"/>
    <col min="6378" max="6378" width="11.140625" style="14" customWidth="1"/>
    <col min="6379" max="6379" width="25.140625" style="14" customWidth="1"/>
    <col min="6380" max="6380" width="13.5703125" style="14" customWidth="1"/>
    <col min="6381" max="6381" width="15.42578125" style="14" customWidth="1"/>
    <col min="6382" max="6382" width="20.85546875" style="14" customWidth="1"/>
    <col min="6383" max="6383" width="24.140625" style="14" customWidth="1"/>
    <col min="6384" max="6384" width="27.85546875" style="14" customWidth="1"/>
    <col min="6385" max="6385" width="12" style="14" customWidth="1"/>
    <col min="6386" max="6386" width="15" style="14" customWidth="1"/>
    <col min="6387" max="6632" width="9" style="14"/>
    <col min="6633" max="6633" width="4.85546875" style="14" customWidth="1"/>
    <col min="6634" max="6634" width="11.140625" style="14" customWidth="1"/>
    <col min="6635" max="6635" width="25.140625" style="14" customWidth="1"/>
    <col min="6636" max="6636" width="13.5703125" style="14" customWidth="1"/>
    <col min="6637" max="6637" width="15.42578125" style="14" customWidth="1"/>
    <col min="6638" max="6638" width="20.85546875" style="14" customWidth="1"/>
    <col min="6639" max="6639" width="24.140625" style="14" customWidth="1"/>
    <col min="6640" max="6640" width="27.85546875" style="14" customWidth="1"/>
    <col min="6641" max="6641" width="12" style="14" customWidth="1"/>
    <col min="6642" max="6642" width="15" style="14" customWidth="1"/>
    <col min="6643" max="6888" width="9" style="14"/>
    <col min="6889" max="6889" width="4.85546875" style="14" customWidth="1"/>
    <col min="6890" max="6890" width="11.140625" style="14" customWidth="1"/>
    <col min="6891" max="6891" width="25.140625" style="14" customWidth="1"/>
    <col min="6892" max="6892" width="13.5703125" style="14" customWidth="1"/>
    <col min="6893" max="6893" width="15.42578125" style="14" customWidth="1"/>
    <col min="6894" max="6894" width="20.85546875" style="14" customWidth="1"/>
    <col min="6895" max="6895" width="24.140625" style="14" customWidth="1"/>
    <col min="6896" max="6896" width="27.85546875" style="14" customWidth="1"/>
    <col min="6897" max="6897" width="12" style="14" customWidth="1"/>
    <col min="6898" max="6898" width="15" style="14" customWidth="1"/>
    <col min="6899" max="7144" width="9" style="14"/>
    <col min="7145" max="7145" width="4.85546875" style="14" customWidth="1"/>
    <col min="7146" max="7146" width="11.140625" style="14" customWidth="1"/>
    <col min="7147" max="7147" width="25.140625" style="14" customWidth="1"/>
    <col min="7148" max="7148" width="13.5703125" style="14" customWidth="1"/>
    <col min="7149" max="7149" width="15.42578125" style="14" customWidth="1"/>
    <col min="7150" max="7150" width="20.85546875" style="14" customWidth="1"/>
    <col min="7151" max="7151" width="24.140625" style="14" customWidth="1"/>
    <col min="7152" max="7152" width="27.85546875" style="14" customWidth="1"/>
    <col min="7153" max="7153" width="12" style="14" customWidth="1"/>
    <col min="7154" max="7154" width="15" style="14" customWidth="1"/>
    <col min="7155" max="7400" width="9" style="14"/>
    <col min="7401" max="7401" width="4.85546875" style="14" customWidth="1"/>
    <col min="7402" max="7402" width="11.140625" style="14" customWidth="1"/>
    <col min="7403" max="7403" width="25.140625" style="14" customWidth="1"/>
    <col min="7404" max="7404" width="13.5703125" style="14" customWidth="1"/>
    <col min="7405" max="7405" width="15.42578125" style="14" customWidth="1"/>
    <col min="7406" max="7406" width="20.85546875" style="14" customWidth="1"/>
    <col min="7407" max="7407" width="24.140625" style="14" customWidth="1"/>
    <col min="7408" max="7408" width="27.85546875" style="14" customWidth="1"/>
    <col min="7409" max="7409" width="12" style="14" customWidth="1"/>
    <col min="7410" max="7410" width="15" style="14" customWidth="1"/>
    <col min="7411" max="7656" width="9" style="14"/>
    <col min="7657" max="7657" width="4.85546875" style="14" customWidth="1"/>
    <col min="7658" max="7658" width="11.140625" style="14" customWidth="1"/>
    <col min="7659" max="7659" width="25.140625" style="14" customWidth="1"/>
    <col min="7660" max="7660" width="13.5703125" style="14" customWidth="1"/>
    <col min="7661" max="7661" width="15.42578125" style="14" customWidth="1"/>
    <col min="7662" max="7662" width="20.85546875" style="14" customWidth="1"/>
    <col min="7663" max="7663" width="24.140625" style="14" customWidth="1"/>
    <col min="7664" max="7664" width="27.85546875" style="14" customWidth="1"/>
    <col min="7665" max="7665" width="12" style="14" customWidth="1"/>
    <col min="7666" max="7666" width="15" style="14" customWidth="1"/>
    <col min="7667" max="7912" width="9" style="14"/>
    <col min="7913" max="7913" width="4.85546875" style="14" customWidth="1"/>
    <col min="7914" max="7914" width="11.140625" style="14" customWidth="1"/>
    <col min="7915" max="7915" width="25.140625" style="14" customWidth="1"/>
    <col min="7916" max="7916" width="13.5703125" style="14" customWidth="1"/>
    <col min="7917" max="7917" width="15.42578125" style="14" customWidth="1"/>
    <col min="7918" max="7918" width="20.85546875" style="14" customWidth="1"/>
    <col min="7919" max="7919" width="24.140625" style="14" customWidth="1"/>
    <col min="7920" max="7920" width="27.85546875" style="14" customWidth="1"/>
    <col min="7921" max="7921" width="12" style="14" customWidth="1"/>
    <col min="7922" max="7922" width="15" style="14" customWidth="1"/>
    <col min="7923" max="8168" width="9" style="14"/>
    <col min="8169" max="8169" width="4.85546875" style="14" customWidth="1"/>
    <col min="8170" max="8170" width="11.140625" style="14" customWidth="1"/>
    <col min="8171" max="8171" width="25.140625" style="14" customWidth="1"/>
    <col min="8172" max="8172" width="13.5703125" style="14" customWidth="1"/>
    <col min="8173" max="8173" width="15.42578125" style="14" customWidth="1"/>
    <col min="8174" max="8174" width="20.85546875" style="14" customWidth="1"/>
    <col min="8175" max="8175" width="24.140625" style="14" customWidth="1"/>
    <col min="8176" max="8176" width="27.85546875" style="14" customWidth="1"/>
    <col min="8177" max="8177" width="12" style="14" customWidth="1"/>
    <col min="8178" max="8178" width="15" style="14" customWidth="1"/>
    <col min="8179" max="8424" width="9" style="14"/>
    <col min="8425" max="8425" width="4.85546875" style="14" customWidth="1"/>
    <col min="8426" max="8426" width="11.140625" style="14" customWidth="1"/>
    <col min="8427" max="8427" width="25.140625" style="14" customWidth="1"/>
    <col min="8428" max="8428" width="13.5703125" style="14" customWidth="1"/>
    <col min="8429" max="8429" width="15.42578125" style="14" customWidth="1"/>
    <col min="8430" max="8430" width="20.85546875" style="14" customWidth="1"/>
    <col min="8431" max="8431" width="24.140625" style="14" customWidth="1"/>
    <col min="8432" max="8432" width="27.85546875" style="14" customWidth="1"/>
    <col min="8433" max="8433" width="12" style="14" customWidth="1"/>
    <col min="8434" max="8434" width="15" style="14" customWidth="1"/>
    <col min="8435" max="8680" width="9" style="14"/>
    <col min="8681" max="8681" width="4.85546875" style="14" customWidth="1"/>
    <col min="8682" max="8682" width="11.140625" style="14" customWidth="1"/>
    <col min="8683" max="8683" width="25.140625" style="14" customWidth="1"/>
    <col min="8684" max="8684" width="13.5703125" style="14" customWidth="1"/>
    <col min="8685" max="8685" width="15.42578125" style="14" customWidth="1"/>
    <col min="8686" max="8686" width="20.85546875" style="14" customWidth="1"/>
    <col min="8687" max="8687" width="24.140625" style="14" customWidth="1"/>
    <col min="8688" max="8688" width="27.85546875" style="14" customWidth="1"/>
    <col min="8689" max="8689" width="12" style="14" customWidth="1"/>
    <col min="8690" max="8690" width="15" style="14" customWidth="1"/>
    <col min="8691" max="8936" width="9" style="14"/>
    <col min="8937" max="8937" width="4.85546875" style="14" customWidth="1"/>
    <col min="8938" max="8938" width="11.140625" style="14" customWidth="1"/>
    <col min="8939" max="8939" width="25.140625" style="14" customWidth="1"/>
    <col min="8940" max="8940" width="13.5703125" style="14" customWidth="1"/>
    <col min="8941" max="8941" width="15.42578125" style="14" customWidth="1"/>
    <col min="8942" max="8942" width="20.85546875" style="14" customWidth="1"/>
    <col min="8943" max="8943" width="24.140625" style="14" customWidth="1"/>
    <col min="8944" max="8944" width="27.85546875" style="14" customWidth="1"/>
    <col min="8945" max="8945" width="12" style="14" customWidth="1"/>
    <col min="8946" max="8946" width="15" style="14" customWidth="1"/>
    <col min="8947" max="9192" width="9" style="14"/>
    <col min="9193" max="9193" width="4.85546875" style="14" customWidth="1"/>
    <col min="9194" max="9194" width="11.140625" style="14" customWidth="1"/>
    <col min="9195" max="9195" width="25.140625" style="14" customWidth="1"/>
    <col min="9196" max="9196" width="13.5703125" style="14" customWidth="1"/>
    <col min="9197" max="9197" width="15.42578125" style="14" customWidth="1"/>
    <col min="9198" max="9198" width="20.85546875" style="14" customWidth="1"/>
    <col min="9199" max="9199" width="24.140625" style="14" customWidth="1"/>
    <col min="9200" max="9200" width="27.85546875" style="14" customWidth="1"/>
    <col min="9201" max="9201" width="12" style="14" customWidth="1"/>
    <col min="9202" max="9202" width="15" style="14" customWidth="1"/>
    <col min="9203" max="9448" width="9" style="14"/>
    <col min="9449" max="9449" width="4.85546875" style="14" customWidth="1"/>
    <col min="9450" max="9450" width="11.140625" style="14" customWidth="1"/>
    <col min="9451" max="9451" width="25.140625" style="14" customWidth="1"/>
    <col min="9452" max="9452" width="13.5703125" style="14" customWidth="1"/>
    <col min="9453" max="9453" width="15.42578125" style="14" customWidth="1"/>
    <col min="9454" max="9454" width="20.85546875" style="14" customWidth="1"/>
    <col min="9455" max="9455" width="24.140625" style="14" customWidth="1"/>
    <col min="9456" max="9456" width="27.85546875" style="14" customWidth="1"/>
    <col min="9457" max="9457" width="12" style="14" customWidth="1"/>
    <col min="9458" max="9458" width="15" style="14" customWidth="1"/>
    <col min="9459" max="9704" width="9" style="14"/>
    <col min="9705" max="9705" width="4.85546875" style="14" customWidth="1"/>
    <col min="9706" max="9706" width="11.140625" style="14" customWidth="1"/>
    <col min="9707" max="9707" width="25.140625" style="14" customWidth="1"/>
    <col min="9708" max="9708" width="13.5703125" style="14" customWidth="1"/>
    <col min="9709" max="9709" width="15.42578125" style="14" customWidth="1"/>
    <col min="9710" max="9710" width="20.85546875" style="14" customWidth="1"/>
    <col min="9711" max="9711" width="24.140625" style="14" customWidth="1"/>
    <col min="9712" max="9712" width="27.85546875" style="14" customWidth="1"/>
    <col min="9713" max="9713" width="12" style="14" customWidth="1"/>
    <col min="9714" max="9714" width="15" style="14" customWidth="1"/>
    <col min="9715" max="9960" width="9" style="14"/>
    <col min="9961" max="9961" width="4.85546875" style="14" customWidth="1"/>
    <col min="9962" max="9962" width="11.140625" style="14" customWidth="1"/>
    <col min="9963" max="9963" width="25.140625" style="14" customWidth="1"/>
    <col min="9964" max="9964" width="13.5703125" style="14" customWidth="1"/>
    <col min="9965" max="9965" width="15.42578125" style="14" customWidth="1"/>
    <col min="9966" max="9966" width="20.85546875" style="14" customWidth="1"/>
    <col min="9967" max="9967" width="24.140625" style="14" customWidth="1"/>
    <col min="9968" max="9968" width="27.85546875" style="14" customWidth="1"/>
    <col min="9969" max="9969" width="12" style="14" customWidth="1"/>
    <col min="9970" max="9970" width="15" style="14" customWidth="1"/>
    <col min="9971" max="10216" width="9" style="14"/>
    <col min="10217" max="10217" width="4.85546875" style="14" customWidth="1"/>
    <col min="10218" max="10218" width="11.140625" style="14" customWidth="1"/>
    <col min="10219" max="10219" width="25.140625" style="14" customWidth="1"/>
    <col min="10220" max="10220" width="13.5703125" style="14" customWidth="1"/>
    <col min="10221" max="10221" width="15.42578125" style="14" customWidth="1"/>
    <col min="10222" max="10222" width="20.85546875" style="14" customWidth="1"/>
    <col min="10223" max="10223" width="24.140625" style="14" customWidth="1"/>
    <col min="10224" max="10224" width="27.85546875" style="14" customWidth="1"/>
    <col min="10225" max="10225" width="12" style="14" customWidth="1"/>
    <col min="10226" max="10226" width="15" style="14" customWidth="1"/>
    <col min="10227" max="10472" width="9" style="14"/>
    <col min="10473" max="10473" width="4.85546875" style="14" customWidth="1"/>
    <col min="10474" max="10474" width="11.140625" style="14" customWidth="1"/>
    <col min="10475" max="10475" width="25.140625" style="14" customWidth="1"/>
    <col min="10476" max="10476" width="13.5703125" style="14" customWidth="1"/>
    <col min="10477" max="10477" width="15.42578125" style="14" customWidth="1"/>
    <col min="10478" max="10478" width="20.85546875" style="14" customWidth="1"/>
    <col min="10479" max="10479" width="24.140625" style="14" customWidth="1"/>
    <col min="10480" max="10480" width="27.85546875" style="14" customWidth="1"/>
    <col min="10481" max="10481" width="12" style="14" customWidth="1"/>
    <col min="10482" max="10482" width="15" style="14" customWidth="1"/>
    <col min="10483" max="10728" width="9" style="14"/>
    <col min="10729" max="10729" width="4.85546875" style="14" customWidth="1"/>
    <col min="10730" max="10730" width="11.140625" style="14" customWidth="1"/>
    <col min="10731" max="10731" width="25.140625" style="14" customWidth="1"/>
    <col min="10732" max="10732" width="13.5703125" style="14" customWidth="1"/>
    <col min="10733" max="10733" width="15.42578125" style="14" customWidth="1"/>
    <col min="10734" max="10734" width="20.85546875" style="14" customWidth="1"/>
    <col min="10735" max="10735" width="24.140625" style="14" customWidth="1"/>
    <col min="10736" max="10736" width="27.85546875" style="14" customWidth="1"/>
    <col min="10737" max="10737" width="12" style="14" customWidth="1"/>
    <col min="10738" max="10738" width="15" style="14" customWidth="1"/>
    <col min="10739" max="10984" width="9" style="14"/>
    <col min="10985" max="10985" width="4.85546875" style="14" customWidth="1"/>
    <col min="10986" max="10986" width="11.140625" style="14" customWidth="1"/>
    <col min="10987" max="10987" width="25.140625" style="14" customWidth="1"/>
    <col min="10988" max="10988" width="13.5703125" style="14" customWidth="1"/>
    <col min="10989" max="10989" width="15.42578125" style="14" customWidth="1"/>
    <col min="10990" max="10990" width="20.85546875" style="14" customWidth="1"/>
    <col min="10991" max="10991" width="24.140625" style="14" customWidth="1"/>
    <col min="10992" max="10992" width="27.85546875" style="14" customWidth="1"/>
    <col min="10993" max="10993" width="12" style="14" customWidth="1"/>
    <col min="10994" max="10994" width="15" style="14" customWidth="1"/>
    <col min="10995" max="11240" width="9" style="14"/>
    <col min="11241" max="11241" width="4.85546875" style="14" customWidth="1"/>
    <col min="11242" max="11242" width="11.140625" style="14" customWidth="1"/>
    <col min="11243" max="11243" width="25.140625" style="14" customWidth="1"/>
    <col min="11244" max="11244" width="13.5703125" style="14" customWidth="1"/>
    <col min="11245" max="11245" width="15.42578125" style="14" customWidth="1"/>
    <col min="11246" max="11246" width="20.85546875" style="14" customWidth="1"/>
    <col min="11247" max="11247" width="24.140625" style="14" customWidth="1"/>
    <col min="11248" max="11248" width="27.85546875" style="14" customWidth="1"/>
    <col min="11249" max="11249" width="12" style="14" customWidth="1"/>
    <col min="11250" max="11250" width="15" style="14" customWidth="1"/>
    <col min="11251" max="11496" width="9" style="14"/>
    <col min="11497" max="11497" width="4.85546875" style="14" customWidth="1"/>
    <col min="11498" max="11498" width="11.140625" style="14" customWidth="1"/>
    <col min="11499" max="11499" width="25.140625" style="14" customWidth="1"/>
    <col min="11500" max="11500" width="13.5703125" style="14" customWidth="1"/>
    <col min="11501" max="11501" width="15.42578125" style="14" customWidth="1"/>
    <col min="11502" max="11502" width="20.85546875" style="14" customWidth="1"/>
    <col min="11503" max="11503" width="24.140625" style="14" customWidth="1"/>
    <col min="11504" max="11504" width="27.85546875" style="14" customWidth="1"/>
    <col min="11505" max="11505" width="12" style="14" customWidth="1"/>
    <col min="11506" max="11506" width="15" style="14" customWidth="1"/>
    <col min="11507" max="11752" width="9" style="14"/>
    <col min="11753" max="11753" width="4.85546875" style="14" customWidth="1"/>
    <col min="11754" max="11754" width="11.140625" style="14" customWidth="1"/>
    <col min="11755" max="11755" width="25.140625" style="14" customWidth="1"/>
    <col min="11756" max="11756" width="13.5703125" style="14" customWidth="1"/>
    <col min="11757" max="11757" width="15.42578125" style="14" customWidth="1"/>
    <col min="11758" max="11758" width="20.85546875" style="14" customWidth="1"/>
    <col min="11759" max="11759" width="24.140625" style="14" customWidth="1"/>
    <col min="11760" max="11760" width="27.85546875" style="14" customWidth="1"/>
    <col min="11761" max="11761" width="12" style="14" customWidth="1"/>
    <col min="11762" max="11762" width="15" style="14" customWidth="1"/>
    <col min="11763" max="12008" width="9" style="14"/>
    <col min="12009" max="12009" width="4.85546875" style="14" customWidth="1"/>
    <col min="12010" max="12010" width="11.140625" style="14" customWidth="1"/>
    <col min="12011" max="12011" width="25.140625" style="14" customWidth="1"/>
    <col min="12012" max="12012" width="13.5703125" style="14" customWidth="1"/>
    <col min="12013" max="12013" width="15.42578125" style="14" customWidth="1"/>
    <col min="12014" max="12014" width="20.85546875" style="14" customWidth="1"/>
    <col min="12015" max="12015" width="24.140625" style="14" customWidth="1"/>
    <col min="12016" max="12016" width="27.85546875" style="14" customWidth="1"/>
    <col min="12017" max="12017" width="12" style="14" customWidth="1"/>
    <col min="12018" max="12018" width="15" style="14" customWidth="1"/>
    <col min="12019" max="12264" width="9" style="14"/>
    <col min="12265" max="12265" width="4.85546875" style="14" customWidth="1"/>
    <col min="12266" max="12266" width="11.140625" style="14" customWidth="1"/>
    <col min="12267" max="12267" width="25.140625" style="14" customWidth="1"/>
    <col min="12268" max="12268" width="13.5703125" style="14" customWidth="1"/>
    <col min="12269" max="12269" width="15.42578125" style="14" customWidth="1"/>
    <col min="12270" max="12270" width="20.85546875" style="14" customWidth="1"/>
    <col min="12271" max="12271" width="24.140625" style="14" customWidth="1"/>
    <col min="12272" max="12272" width="27.85546875" style="14" customWidth="1"/>
    <col min="12273" max="12273" width="12" style="14" customWidth="1"/>
    <col min="12274" max="12274" width="15" style="14" customWidth="1"/>
    <col min="12275" max="12520" width="9" style="14"/>
    <col min="12521" max="12521" width="4.85546875" style="14" customWidth="1"/>
    <col min="12522" max="12522" width="11.140625" style="14" customWidth="1"/>
    <col min="12523" max="12523" width="25.140625" style="14" customWidth="1"/>
    <col min="12524" max="12524" width="13.5703125" style="14" customWidth="1"/>
    <col min="12525" max="12525" width="15.42578125" style="14" customWidth="1"/>
    <col min="12526" max="12526" width="20.85546875" style="14" customWidth="1"/>
    <col min="12527" max="12527" width="24.140625" style="14" customWidth="1"/>
    <col min="12528" max="12528" width="27.85546875" style="14" customWidth="1"/>
    <col min="12529" max="12529" width="12" style="14" customWidth="1"/>
    <col min="12530" max="12530" width="15" style="14" customWidth="1"/>
    <col min="12531" max="12776" width="9" style="14"/>
    <col min="12777" max="12777" width="4.85546875" style="14" customWidth="1"/>
    <col min="12778" max="12778" width="11.140625" style="14" customWidth="1"/>
    <col min="12779" max="12779" width="25.140625" style="14" customWidth="1"/>
    <col min="12780" max="12780" width="13.5703125" style="14" customWidth="1"/>
    <col min="12781" max="12781" width="15.42578125" style="14" customWidth="1"/>
    <col min="12782" max="12782" width="20.85546875" style="14" customWidth="1"/>
    <col min="12783" max="12783" width="24.140625" style="14" customWidth="1"/>
    <col min="12784" max="12784" width="27.85546875" style="14" customWidth="1"/>
    <col min="12785" max="12785" width="12" style="14" customWidth="1"/>
    <col min="12786" max="12786" width="15" style="14" customWidth="1"/>
    <col min="12787" max="13032" width="9" style="14"/>
    <col min="13033" max="13033" width="4.85546875" style="14" customWidth="1"/>
    <col min="13034" max="13034" width="11.140625" style="14" customWidth="1"/>
    <col min="13035" max="13035" width="25.140625" style="14" customWidth="1"/>
    <col min="13036" max="13036" width="13.5703125" style="14" customWidth="1"/>
    <col min="13037" max="13037" width="15.42578125" style="14" customWidth="1"/>
    <col min="13038" max="13038" width="20.85546875" style="14" customWidth="1"/>
    <col min="13039" max="13039" width="24.140625" style="14" customWidth="1"/>
    <col min="13040" max="13040" width="27.85546875" style="14" customWidth="1"/>
    <col min="13041" max="13041" width="12" style="14" customWidth="1"/>
    <col min="13042" max="13042" width="15" style="14" customWidth="1"/>
    <col min="13043" max="13288" width="9" style="14"/>
    <col min="13289" max="13289" width="4.85546875" style="14" customWidth="1"/>
    <col min="13290" max="13290" width="11.140625" style="14" customWidth="1"/>
    <col min="13291" max="13291" width="25.140625" style="14" customWidth="1"/>
    <col min="13292" max="13292" width="13.5703125" style="14" customWidth="1"/>
    <col min="13293" max="13293" width="15.42578125" style="14" customWidth="1"/>
    <col min="13294" max="13294" width="20.85546875" style="14" customWidth="1"/>
    <col min="13295" max="13295" width="24.140625" style="14" customWidth="1"/>
    <col min="13296" max="13296" width="27.85546875" style="14" customWidth="1"/>
    <col min="13297" max="13297" width="12" style="14" customWidth="1"/>
    <col min="13298" max="13298" width="15" style="14" customWidth="1"/>
    <col min="13299" max="13544" width="9" style="14"/>
    <col min="13545" max="13545" width="4.85546875" style="14" customWidth="1"/>
    <col min="13546" max="13546" width="11.140625" style="14" customWidth="1"/>
    <col min="13547" max="13547" width="25.140625" style="14" customWidth="1"/>
    <col min="13548" max="13548" width="13.5703125" style="14" customWidth="1"/>
    <col min="13549" max="13549" width="15.42578125" style="14" customWidth="1"/>
    <col min="13550" max="13550" width="20.85546875" style="14" customWidth="1"/>
    <col min="13551" max="13551" width="24.140625" style="14" customWidth="1"/>
    <col min="13552" max="13552" width="27.85546875" style="14" customWidth="1"/>
    <col min="13553" max="13553" width="12" style="14" customWidth="1"/>
    <col min="13554" max="13554" width="15" style="14" customWidth="1"/>
    <col min="13555" max="13800" width="9" style="14"/>
    <col min="13801" max="13801" width="4.85546875" style="14" customWidth="1"/>
    <col min="13802" max="13802" width="11.140625" style="14" customWidth="1"/>
    <col min="13803" max="13803" width="25.140625" style="14" customWidth="1"/>
    <col min="13804" max="13804" width="13.5703125" style="14" customWidth="1"/>
    <col min="13805" max="13805" width="15.42578125" style="14" customWidth="1"/>
    <col min="13806" max="13806" width="20.85546875" style="14" customWidth="1"/>
    <col min="13807" max="13807" width="24.140625" style="14" customWidth="1"/>
    <col min="13808" max="13808" width="27.85546875" style="14" customWidth="1"/>
    <col min="13809" max="13809" width="12" style="14" customWidth="1"/>
    <col min="13810" max="13810" width="15" style="14" customWidth="1"/>
    <col min="13811" max="14056" width="9" style="14"/>
    <col min="14057" max="14057" width="4.85546875" style="14" customWidth="1"/>
    <col min="14058" max="14058" width="11.140625" style="14" customWidth="1"/>
    <col min="14059" max="14059" width="25.140625" style="14" customWidth="1"/>
    <col min="14060" max="14060" width="13.5703125" style="14" customWidth="1"/>
    <col min="14061" max="14061" width="15.42578125" style="14" customWidth="1"/>
    <col min="14062" max="14062" width="20.85546875" style="14" customWidth="1"/>
    <col min="14063" max="14063" width="24.140625" style="14" customWidth="1"/>
    <col min="14064" max="14064" width="27.85546875" style="14" customWidth="1"/>
    <col min="14065" max="14065" width="12" style="14" customWidth="1"/>
    <col min="14066" max="14066" width="15" style="14" customWidth="1"/>
    <col min="14067" max="14312" width="9" style="14"/>
    <col min="14313" max="14313" width="4.85546875" style="14" customWidth="1"/>
    <col min="14314" max="14314" width="11.140625" style="14" customWidth="1"/>
    <col min="14315" max="14315" width="25.140625" style="14" customWidth="1"/>
    <col min="14316" max="14316" width="13.5703125" style="14" customWidth="1"/>
    <col min="14317" max="14317" width="15.42578125" style="14" customWidth="1"/>
    <col min="14318" max="14318" width="20.85546875" style="14" customWidth="1"/>
    <col min="14319" max="14319" width="24.140625" style="14" customWidth="1"/>
    <col min="14320" max="14320" width="27.85546875" style="14" customWidth="1"/>
    <col min="14321" max="14321" width="12" style="14" customWidth="1"/>
    <col min="14322" max="14322" width="15" style="14" customWidth="1"/>
    <col min="14323" max="14568" width="9" style="14"/>
    <col min="14569" max="14569" width="4.85546875" style="14" customWidth="1"/>
    <col min="14570" max="14570" width="11.140625" style="14" customWidth="1"/>
    <col min="14571" max="14571" width="25.140625" style="14" customWidth="1"/>
    <col min="14572" max="14572" width="13.5703125" style="14" customWidth="1"/>
    <col min="14573" max="14573" width="15.42578125" style="14" customWidth="1"/>
    <col min="14574" max="14574" width="20.85546875" style="14" customWidth="1"/>
    <col min="14575" max="14575" width="24.140625" style="14" customWidth="1"/>
    <col min="14576" max="14576" width="27.85546875" style="14" customWidth="1"/>
    <col min="14577" max="14577" width="12" style="14" customWidth="1"/>
    <col min="14578" max="14578" width="15" style="14" customWidth="1"/>
    <col min="14579" max="14824" width="9" style="14"/>
    <col min="14825" max="14825" width="4.85546875" style="14" customWidth="1"/>
    <col min="14826" max="14826" width="11.140625" style="14" customWidth="1"/>
    <col min="14827" max="14827" width="25.140625" style="14" customWidth="1"/>
    <col min="14828" max="14828" width="13.5703125" style="14" customWidth="1"/>
    <col min="14829" max="14829" width="15.42578125" style="14" customWidth="1"/>
    <col min="14830" max="14830" width="20.85546875" style="14" customWidth="1"/>
    <col min="14831" max="14831" width="24.140625" style="14" customWidth="1"/>
    <col min="14832" max="14832" width="27.85546875" style="14" customWidth="1"/>
    <col min="14833" max="14833" width="12" style="14" customWidth="1"/>
    <col min="14834" max="14834" width="15" style="14" customWidth="1"/>
    <col min="14835" max="15080" width="9" style="14"/>
    <col min="15081" max="15081" width="4.85546875" style="14" customWidth="1"/>
    <col min="15082" max="15082" width="11.140625" style="14" customWidth="1"/>
    <col min="15083" max="15083" width="25.140625" style="14" customWidth="1"/>
    <col min="15084" max="15084" width="13.5703125" style="14" customWidth="1"/>
    <col min="15085" max="15085" width="15.42578125" style="14" customWidth="1"/>
    <col min="15086" max="15086" width="20.85546875" style="14" customWidth="1"/>
    <col min="15087" max="15087" width="24.140625" style="14" customWidth="1"/>
    <col min="15088" max="15088" width="27.85546875" style="14" customWidth="1"/>
    <col min="15089" max="15089" width="12" style="14" customWidth="1"/>
    <col min="15090" max="15090" width="15" style="14" customWidth="1"/>
    <col min="15091" max="15336" width="9" style="14"/>
    <col min="15337" max="15337" width="4.85546875" style="14" customWidth="1"/>
    <col min="15338" max="15338" width="11.140625" style="14" customWidth="1"/>
    <col min="15339" max="15339" width="25.140625" style="14" customWidth="1"/>
    <col min="15340" max="15340" width="13.5703125" style="14" customWidth="1"/>
    <col min="15341" max="15341" width="15.42578125" style="14" customWidth="1"/>
    <col min="15342" max="15342" width="20.85546875" style="14" customWidth="1"/>
    <col min="15343" max="15343" width="24.140625" style="14" customWidth="1"/>
    <col min="15344" max="15344" width="27.85546875" style="14" customWidth="1"/>
    <col min="15345" max="15345" width="12" style="14" customWidth="1"/>
    <col min="15346" max="15346" width="15" style="14" customWidth="1"/>
    <col min="15347" max="15592" width="9" style="14"/>
    <col min="15593" max="15593" width="4.85546875" style="14" customWidth="1"/>
    <col min="15594" max="15594" width="11.140625" style="14" customWidth="1"/>
    <col min="15595" max="15595" width="25.140625" style="14" customWidth="1"/>
    <col min="15596" max="15596" width="13.5703125" style="14" customWidth="1"/>
    <col min="15597" max="15597" width="15.42578125" style="14" customWidth="1"/>
    <col min="15598" max="15598" width="20.85546875" style="14" customWidth="1"/>
    <col min="15599" max="15599" width="24.140625" style="14" customWidth="1"/>
    <col min="15600" max="15600" width="27.85546875" style="14" customWidth="1"/>
    <col min="15601" max="15601" width="12" style="14" customWidth="1"/>
    <col min="15602" max="15602" width="15" style="14" customWidth="1"/>
    <col min="15603" max="15848" width="9" style="14"/>
    <col min="15849" max="15849" width="4.85546875" style="14" customWidth="1"/>
    <col min="15850" max="15850" width="11.140625" style="14" customWidth="1"/>
    <col min="15851" max="15851" width="25.140625" style="14" customWidth="1"/>
    <col min="15852" max="15852" width="13.5703125" style="14" customWidth="1"/>
    <col min="15853" max="15853" width="15.42578125" style="14" customWidth="1"/>
    <col min="15854" max="15854" width="20.85546875" style="14" customWidth="1"/>
    <col min="15855" max="15855" width="24.140625" style="14" customWidth="1"/>
    <col min="15856" max="15856" width="27.85546875" style="14" customWidth="1"/>
    <col min="15857" max="15857" width="12" style="14" customWidth="1"/>
    <col min="15858" max="15858" width="15" style="14" customWidth="1"/>
    <col min="15859" max="16104" width="9" style="14"/>
    <col min="16105" max="16105" width="4.85546875" style="14" customWidth="1"/>
    <col min="16106" max="16106" width="11.140625" style="14" customWidth="1"/>
    <col min="16107" max="16107" width="25.140625" style="14" customWidth="1"/>
    <col min="16108" max="16108" width="13.5703125" style="14" customWidth="1"/>
    <col min="16109" max="16109" width="15.42578125" style="14" customWidth="1"/>
    <col min="16110" max="16110" width="20.85546875" style="14" customWidth="1"/>
    <col min="16111" max="16111" width="24.140625" style="14" customWidth="1"/>
    <col min="16112" max="16112" width="27.85546875" style="14" customWidth="1"/>
    <col min="16113" max="16113" width="12" style="14" customWidth="1"/>
    <col min="16114" max="16114" width="15" style="14" customWidth="1"/>
    <col min="16115" max="16380" width="9" style="14"/>
    <col min="16381" max="16384" width="8.85546875" style="14" customWidth="1"/>
  </cols>
  <sheetData>
    <row r="1" spans="1:24" ht="42.95" customHeight="1">
      <c r="A1" s="16"/>
      <c r="B1" s="73"/>
      <c r="C1" s="17"/>
      <c r="D1" s="18"/>
      <c r="E1" s="137" t="s">
        <v>0</v>
      </c>
      <c r="F1" s="137"/>
      <c r="G1" s="137"/>
      <c r="H1" s="137"/>
      <c r="I1" s="137"/>
      <c r="J1" s="137"/>
      <c r="K1" s="137"/>
      <c r="L1" s="137"/>
      <c r="M1" s="53" t="s">
        <v>1</v>
      </c>
      <c r="N1" s="138"/>
      <c r="O1" s="138"/>
    </row>
    <row r="2" spans="1:24" ht="42.95" customHeight="1">
      <c r="A2" s="19"/>
      <c r="B2" s="74"/>
      <c r="C2" s="20"/>
      <c r="D2" s="21"/>
      <c r="E2" s="137"/>
      <c r="F2" s="137"/>
      <c r="G2" s="137"/>
      <c r="H2" s="137"/>
      <c r="I2" s="137"/>
      <c r="J2" s="137"/>
      <c r="K2" s="137"/>
      <c r="L2" s="137"/>
      <c r="M2" s="53" t="s">
        <v>2</v>
      </c>
      <c r="N2" s="139">
        <f ca="1">TODAY()</f>
        <v>46007</v>
      </c>
      <c r="O2" s="139"/>
    </row>
    <row r="3" spans="1:24" ht="12.75" customHeight="1">
      <c r="A3" s="22"/>
      <c r="B3" s="22"/>
      <c r="C3" s="23"/>
      <c r="D3" s="23"/>
      <c r="E3" s="23"/>
      <c r="F3" s="23"/>
      <c r="G3" s="24"/>
      <c r="H3" s="24"/>
      <c r="I3" s="24"/>
      <c r="J3" s="24"/>
    </row>
    <row r="4" spans="1:24" ht="33.75" customHeight="1">
      <c r="A4" s="140" t="s">
        <v>3</v>
      </c>
      <c r="B4" s="140"/>
      <c r="C4" s="140"/>
      <c r="D4" s="140"/>
      <c r="E4" s="140"/>
      <c r="F4" s="140"/>
      <c r="G4" s="140"/>
      <c r="H4" s="140"/>
      <c r="I4" s="140"/>
      <c r="J4" s="140"/>
      <c r="K4" s="140"/>
      <c r="L4" s="140"/>
      <c r="M4" s="140"/>
      <c r="N4" s="140"/>
      <c r="O4" s="140"/>
    </row>
    <row r="5" spans="1:24" ht="15.95" customHeight="1">
      <c r="A5" s="25"/>
      <c r="B5" s="25"/>
      <c r="C5" s="25"/>
      <c r="D5" s="25"/>
      <c r="E5" s="25"/>
      <c r="F5" s="25"/>
      <c r="G5" s="25"/>
      <c r="H5" s="26"/>
      <c r="I5" s="27"/>
      <c r="J5" s="27"/>
      <c r="K5" s="33"/>
      <c r="L5" s="33"/>
      <c r="M5" s="33"/>
      <c r="N5" s="33"/>
      <c r="O5" s="33"/>
    </row>
    <row r="6" spans="1:24" ht="31.15" customHeight="1">
      <c r="A6" s="28" t="s">
        <v>4</v>
      </c>
      <c r="B6" s="28"/>
      <c r="C6" s="29"/>
      <c r="D6" s="30"/>
      <c r="E6" s="31"/>
      <c r="F6" s="32" t="s">
        <v>5</v>
      </c>
      <c r="G6" s="33"/>
      <c r="H6" s="141"/>
      <c r="I6" s="141"/>
      <c r="J6" s="33"/>
      <c r="K6" s="33"/>
      <c r="L6" s="54" t="s">
        <v>6</v>
      </c>
      <c r="M6" s="142"/>
      <c r="N6" s="143"/>
      <c r="O6" s="33"/>
    </row>
    <row r="7" spans="1:24" ht="8.25" customHeight="1">
      <c r="A7" s="25"/>
      <c r="B7" s="25"/>
      <c r="C7" s="25"/>
      <c r="D7" s="25"/>
      <c r="E7" s="31"/>
      <c r="F7" s="25"/>
      <c r="G7" s="33"/>
      <c r="H7" s="25"/>
      <c r="I7" s="33"/>
      <c r="J7" s="33"/>
      <c r="K7" s="33"/>
      <c r="L7" s="25"/>
      <c r="M7" s="55"/>
      <c r="N7" s="55"/>
      <c r="O7" s="33"/>
    </row>
    <row r="8" spans="1:24" ht="31.15" customHeight="1">
      <c r="A8" s="34" t="s">
        <v>7</v>
      </c>
      <c r="B8" s="34"/>
      <c r="C8" s="35"/>
      <c r="D8" s="36"/>
      <c r="E8" s="31"/>
      <c r="F8" s="32" t="s">
        <v>8</v>
      </c>
      <c r="G8" s="33"/>
      <c r="H8" s="144"/>
      <c r="I8" s="144"/>
      <c r="J8" s="33"/>
      <c r="K8" s="33"/>
      <c r="L8" s="54" t="s">
        <v>9</v>
      </c>
      <c r="M8" s="145"/>
      <c r="N8" s="146"/>
      <c r="O8" s="33"/>
    </row>
    <row r="9" spans="1:24" ht="16.5">
      <c r="A9" s="25"/>
      <c r="B9" s="25"/>
      <c r="C9" s="25"/>
      <c r="D9" s="25"/>
      <c r="E9" s="31"/>
      <c r="F9" s="25"/>
      <c r="G9" s="33"/>
      <c r="H9" s="25"/>
      <c r="I9" s="33"/>
      <c r="J9" s="55"/>
      <c r="K9" s="33"/>
      <c r="L9" s="33"/>
      <c r="M9" s="33"/>
      <c r="N9" s="33"/>
      <c r="O9" s="33"/>
    </row>
    <row r="10" spans="1:24" ht="63.75" customHeight="1">
      <c r="A10" s="37" t="s">
        <v>10</v>
      </c>
      <c r="B10" s="37"/>
      <c r="C10" s="29"/>
      <c r="D10" s="38" t="s">
        <v>82</v>
      </c>
      <c r="E10" s="31"/>
      <c r="F10" s="32" t="s">
        <v>11</v>
      </c>
      <c r="G10" s="33"/>
      <c r="H10" s="147" t="s">
        <v>12</v>
      </c>
      <c r="I10" s="148"/>
      <c r="J10" s="56"/>
      <c r="K10" s="33"/>
      <c r="L10" s="54" t="s">
        <v>13</v>
      </c>
      <c r="M10" s="149" t="s">
        <v>153</v>
      </c>
      <c r="N10" s="150"/>
      <c r="O10" s="33"/>
      <c r="X10" s="14">
        <f>4</f>
        <v>4</v>
      </c>
    </row>
    <row r="11" spans="1:24" ht="9.75" customHeight="1">
      <c r="A11" s="39"/>
      <c r="B11" s="39"/>
      <c r="C11" s="40"/>
      <c r="D11" s="40"/>
      <c r="E11" s="40"/>
      <c r="F11" s="40"/>
      <c r="G11" s="40"/>
    </row>
    <row r="12" spans="1:24" s="12" customFormat="1" ht="54" customHeight="1">
      <c r="A12" s="41" t="s">
        <v>14</v>
      </c>
      <c r="B12" s="69" t="s">
        <v>74</v>
      </c>
      <c r="C12" s="157" t="s">
        <v>15</v>
      </c>
      <c r="D12" s="157"/>
      <c r="E12" s="157"/>
      <c r="F12" s="157"/>
      <c r="G12" s="42" t="s">
        <v>16</v>
      </c>
      <c r="H12" s="70" t="s">
        <v>17</v>
      </c>
      <c r="I12" s="70" t="s">
        <v>18</v>
      </c>
      <c r="J12" s="70" t="s">
        <v>19</v>
      </c>
      <c r="K12" s="70" t="s">
        <v>20</v>
      </c>
      <c r="L12" s="70" t="s">
        <v>21</v>
      </c>
      <c r="M12" s="158" t="s">
        <v>22</v>
      </c>
      <c r="N12" s="158"/>
      <c r="O12" s="57" t="s">
        <v>23</v>
      </c>
    </row>
    <row r="13" spans="1:24" s="12" customFormat="1" ht="35.450000000000003" hidden="1" customHeight="1">
      <c r="A13" s="43">
        <v>1</v>
      </c>
      <c r="B13" s="43"/>
      <c r="C13" s="129"/>
      <c r="D13" s="129"/>
      <c r="E13" s="129"/>
      <c r="F13" s="129"/>
      <c r="G13" s="44"/>
      <c r="H13" s="44"/>
      <c r="I13" s="44"/>
      <c r="J13" s="58"/>
      <c r="K13" s="44"/>
      <c r="L13" s="59"/>
      <c r="M13" s="128"/>
      <c r="N13" s="128"/>
      <c r="O13" s="60"/>
    </row>
    <row r="14" spans="1:24" s="12" customFormat="1" ht="35.450000000000003" hidden="1" customHeight="1">
      <c r="A14" s="43">
        <v>2</v>
      </c>
      <c r="B14" s="43"/>
      <c r="C14" s="129"/>
      <c r="D14" s="129"/>
      <c r="E14" s="129"/>
      <c r="F14" s="129"/>
      <c r="G14" s="44"/>
      <c r="H14" s="44"/>
      <c r="I14" s="44"/>
      <c r="J14" s="58"/>
      <c r="K14" s="44"/>
      <c r="L14" s="59"/>
      <c r="M14" s="128"/>
      <c r="N14" s="128"/>
      <c r="O14" s="60"/>
    </row>
    <row r="15" spans="1:24" s="12" customFormat="1" ht="35.450000000000003" hidden="1" customHeight="1">
      <c r="A15" s="43">
        <v>3</v>
      </c>
      <c r="B15" s="43"/>
      <c r="C15" s="129"/>
      <c r="D15" s="129"/>
      <c r="E15" s="129"/>
      <c r="F15" s="129"/>
      <c r="G15" s="44"/>
      <c r="H15" s="44"/>
      <c r="I15" s="44"/>
      <c r="J15" s="58"/>
      <c r="K15" s="44"/>
      <c r="L15" s="59"/>
      <c r="M15" s="128"/>
      <c r="N15" s="128"/>
      <c r="O15" s="60"/>
    </row>
    <row r="16" spans="1:24" s="12" customFormat="1" ht="35.450000000000003" hidden="1" customHeight="1">
      <c r="A16" s="43">
        <v>1</v>
      </c>
      <c r="B16" s="43"/>
      <c r="C16" s="129"/>
      <c r="D16" s="129"/>
      <c r="E16" s="129"/>
      <c r="F16" s="129"/>
      <c r="G16" s="44"/>
      <c r="H16" s="44"/>
      <c r="I16" s="44"/>
      <c r="J16" s="58"/>
      <c r="K16" s="44"/>
      <c r="L16" s="59"/>
      <c r="M16" s="128"/>
      <c r="N16" s="128"/>
      <c r="O16" s="60"/>
    </row>
    <row r="17" spans="1:23" s="12" customFormat="1" ht="35.450000000000003" hidden="1" customHeight="1">
      <c r="A17" s="43">
        <v>2</v>
      </c>
      <c r="B17" s="43"/>
      <c r="C17" s="129"/>
      <c r="D17" s="129"/>
      <c r="E17" s="129"/>
      <c r="F17" s="129"/>
      <c r="G17" s="44"/>
      <c r="H17" s="44"/>
      <c r="I17" s="44"/>
      <c r="J17" s="58"/>
      <c r="K17" s="44"/>
      <c r="L17" s="59"/>
      <c r="M17" s="128"/>
      <c r="N17" s="128"/>
      <c r="O17" s="60"/>
    </row>
    <row r="18" spans="1:23" s="12" customFormat="1" ht="35.450000000000003" hidden="1" customHeight="1">
      <c r="A18" s="43">
        <v>3</v>
      </c>
      <c r="B18" s="43"/>
      <c r="C18" s="133"/>
      <c r="D18" s="133"/>
      <c r="E18" s="133"/>
      <c r="F18" s="133"/>
      <c r="G18" s="44"/>
      <c r="H18" s="44"/>
      <c r="I18" s="44"/>
      <c r="J18" s="58"/>
      <c r="K18" s="44"/>
      <c r="L18" s="59"/>
      <c r="M18" s="128"/>
      <c r="N18" s="128"/>
      <c r="O18" s="60"/>
    </row>
    <row r="19" spans="1:23" s="12" customFormat="1" ht="35.450000000000003" customHeight="1">
      <c r="A19" s="43"/>
      <c r="B19" s="88"/>
      <c r="C19" s="130" t="s">
        <v>154</v>
      </c>
      <c r="D19" s="131"/>
      <c r="E19" s="131"/>
      <c r="F19" s="132"/>
      <c r="G19" s="89"/>
      <c r="H19" s="89"/>
      <c r="I19" s="89"/>
      <c r="J19" s="90" t="s">
        <v>90</v>
      </c>
      <c r="K19" s="89">
        <v>1</v>
      </c>
      <c r="L19" s="91"/>
      <c r="M19" s="135"/>
      <c r="N19" s="136"/>
      <c r="O19" s="92"/>
    </row>
    <row r="20" spans="1:23" s="12" customFormat="1" ht="35.450000000000003" customHeight="1">
      <c r="A20" s="43"/>
      <c r="B20" s="88"/>
      <c r="C20" s="130" t="s">
        <v>149</v>
      </c>
      <c r="D20" s="131"/>
      <c r="E20" s="131"/>
      <c r="F20" s="132"/>
      <c r="G20" s="89"/>
      <c r="H20" s="89"/>
      <c r="I20" s="89"/>
      <c r="J20" s="90" t="s">
        <v>90</v>
      </c>
      <c r="K20" s="89">
        <v>1</v>
      </c>
      <c r="L20" s="91"/>
      <c r="M20" s="101"/>
      <c r="N20" s="102"/>
      <c r="O20" s="92"/>
    </row>
    <row r="21" spans="1:23" s="12" customFormat="1" ht="35.450000000000003" customHeight="1">
      <c r="A21" s="43"/>
      <c r="B21" s="88"/>
      <c r="C21" s="117" t="s">
        <v>29</v>
      </c>
      <c r="D21" s="117"/>
      <c r="E21" s="117"/>
      <c r="F21" s="117"/>
      <c r="G21" s="93"/>
      <c r="H21" s="93"/>
      <c r="I21" s="93"/>
      <c r="J21" s="80" t="s">
        <v>24</v>
      </c>
      <c r="K21" s="81">
        <v>3</v>
      </c>
      <c r="L21" s="81" t="e">
        <f>#REF!+#REF!</f>
        <v>#REF!</v>
      </c>
      <c r="M21" s="116" t="s">
        <v>155</v>
      </c>
      <c r="N21" s="116"/>
      <c r="O21" s="116" t="s">
        <v>30</v>
      </c>
    </row>
    <row r="22" spans="1:23" s="12" customFormat="1" ht="35.450000000000003" customHeight="1">
      <c r="A22" s="43"/>
      <c r="B22" s="88"/>
      <c r="C22" s="117" t="s">
        <v>31</v>
      </c>
      <c r="D22" s="117"/>
      <c r="E22" s="117"/>
      <c r="F22" s="117"/>
      <c r="G22" s="93"/>
      <c r="H22" s="93"/>
      <c r="I22" s="93"/>
      <c r="J22" s="80" t="s">
        <v>24</v>
      </c>
      <c r="K22" s="81">
        <v>3</v>
      </c>
      <c r="L22" s="81" t="e">
        <f>#REF!+#REF!</f>
        <v>#REF!</v>
      </c>
      <c r="M22" s="118"/>
      <c r="N22" s="119"/>
      <c r="O22" s="116"/>
    </row>
    <row r="23" spans="1:23" s="12" customFormat="1" ht="35.450000000000003" customHeight="1">
      <c r="A23" s="43"/>
      <c r="B23" s="88"/>
      <c r="C23" s="134" t="s">
        <v>143</v>
      </c>
      <c r="D23" s="134"/>
      <c r="E23" s="134"/>
      <c r="F23" s="134"/>
      <c r="G23" s="93"/>
      <c r="H23" s="93"/>
      <c r="I23" s="93"/>
      <c r="J23" s="80" t="s">
        <v>34</v>
      </c>
      <c r="K23" s="81">
        <v>1</v>
      </c>
      <c r="L23" s="81"/>
      <c r="M23" s="116"/>
      <c r="N23" s="116"/>
      <c r="O23" s="92"/>
    </row>
    <row r="24" spans="1:23" s="12" customFormat="1" ht="35.450000000000003" customHeight="1">
      <c r="A24" s="43"/>
      <c r="B24" s="151" t="s">
        <v>156</v>
      </c>
      <c r="C24" s="152"/>
      <c r="D24" s="152"/>
      <c r="E24" s="152"/>
      <c r="F24" s="152"/>
      <c r="G24" s="152"/>
      <c r="H24" s="152"/>
      <c r="I24" s="152"/>
      <c r="J24" s="152"/>
      <c r="K24" s="152"/>
      <c r="L24" s="152"/>
      <c r="M24" s="152"/>
      <c r="N24" s="153"/>
      <c r="O24" s="108"/>
    </row>
    <row r="25" spans="1:23" s="12" customFormat="1" ht="35.450000000000003" customHeight="1">
      <c r="A25" s="46">
        <v>1</v>
      </c>
      <c r="B25" s="46" t="s">
        <v>161</v>
      </c>
      <c r="C25" s="122" t="s">
        <v>158</v>
      </c>
      <c r="D25" s="122"/>
      <c r="E25" s="122"/>
      <c r="F25" s="122"/>
      <c r="G25" s="45"/>
      <c r="H25" s="45"/>
      <c r="I25" s="45"/>
      <c r="J25" s="46" t="s">
        <v>24</v>
      </c>
      <c r="K25" s="62">
        <v>10</v>
      </c>
      <c r="L25" s="62" t="e">
        <f>#REF!+#REF!+#REF!+#REF!</f>
        <v>#REF!</v>
      </c>
      <c r="M25" s="123" t="s">
        <v>157</v>
      </c>
      <c r="N25" s="123"/>
      <c r="O25" s="154"/>
      <c r="W25" s="61">
        <v>11</v>
      </c>
    </row>
    <row r="26" spans="1:23" s="12" customFormat="1" ht="35.450000000000003" customHeight="1">
      <c r="A26" s="46">
        <v>2</v>
      </c>
      <c r="B26" s="46" t="s">
        <v>159</v>
      </c>
      <c r="C26" s="122" t="s">
        <v>25</v>
      </c>
      <c r="D26" s="122"/>
      <c r="E26" s="122"/>
      <c r="F26" s="122"/>
      <c r="G26" s="45"/>
      <c r="H26" s="45"/>
      <c r="I26" s="45"/>
      <c r="J26" s="46" t="s">
        <v>24</v>
      </c>
      <c r="K26" s="62">
        <v>14</v>
      </c>
      <c r="L26" s="62" t="e">
        <f>#REF!+#REF!+#REF!+#REF!</f>
        <v>#REF!</v>
      </c>
      <c r="M26" s="123" t="s">
        <v>160</v>
      </c>
      <c r="N26" s="123"/>
      <c r="O26" s="155"/>
      <c r="U26"/>
      <c r="W26" s="62">
        <v>24</v>
      </c>
    </row>
    <row r="27" spans="1:23" s="12" customFormat="1" ht="35.450000000000003" customHeight="1">
      <c r="A27" s="46">
        <v>3</v>
      </c>
      <c r="B27" s="46" t="s">
        <v>162</v>
      </c>
      <c r="C27" s="122" t="s">
        <v>26</v>
      </c>
      <c r="D27" s="122"/>
      <c r="E27" s="122"/>
      <c r="F27" s="122"/>
      <c r="G27" s="45"/>
      <c r="H27" s="45"/>
      <c r="I27" s="45"/>
      <c r="J27" s="46" t="s">
        <v>24</v>
      </c>
      <c r="K27" s="62">
        <v>21</v>
      </c>
      <c r="L27" s="62" t="e">
        <f>#REF!+#REF!</f>
        <v>#REF!</v>
      </c>
      <c r="M27" s="123" t="s">
        <v>160</v>
      </c>
      <c r="N27" s="123"/>
      <c r="O27" s="155"/>
      <c r="W27" s="62">
        <v>18</v>
      </c>
    </row>
    <row r="28" spans="1:23" s="12" customFormat="1" ht="35.450000000000003" customHeight="1">
      <c r="A28" s="46">
        <v>4</v>
      </c>
      <c r="B28" s="46" t="s">
        <v>163</v>
      </c>
      <c r="C28" s="122" t="s">
        <v>27</v>
      </c>
      <c r="D28" s="122"/>
      <c r="E28" s="122"/>
      <c r="F28" s="122"/>
      <c r="G28" s="45"/>
      <c r="H28" s="45"/>
      <c r="I28" s="45"/>
      <c r="J28" s="46" t="s">
        <v>24</v>
      </c>
      <c r="K28" s="62">
        <v>33</v>
      </c>
      <c r="L28" s="62" t="e">
        <f>#REF!+#REF!+#REF!+#REF!</f>
        <v>#REF!</v>
      </c>
      <c r="M28" s="123" t="s">
        <v>160</v>
      </c>
      <c r="N28" s="123"/>
      <c r="O28" s="155"/>
      <c r="W28" s="62">
        <v>28</v>
      </c>
    </row>
    <row r="29" spans="1:23" s="12" customFormat="1" ht="35.450000000000003" customHeight="1">
      <c r="A29" s="46">
        <v>5</v>
      </c>
      <c r="B29" s="46"/>
      <c r="C29" s="122" t="s">
        <v>164</v>
      </c>
      <c r="D29" s="122"/>
      <c r="E29" s="122"/>
      <c r="F29" s="122"/>
      <c r="G29" s="45"/>
      <c r="H29" s="45"/>
      <c r="I29" s="45"/>
      <c r="J29" s="46" t="s">
        <v>83</v>
      </c>
      <c r="K29" s="62">
        <v>16</v>
      </c>
      <c r="L29" s="62" t="e">
        <f>#REF!</f>
        <v>#REF!</v>
      </c>
      <c r="M29" s="123" t="s">
        <v>165</v>
      </c>
      <c r="N29" s="123"/>
      <c r="O29" s="155"/>
      <c r="W29" s="62">
        <v>3</v>
      </c>
    </row>
    <row r="30" spans="1:23" s="12" customFormat="1" ht="35.450000000000003" customHeight="1">
      <c r="A30" s="46">
        <v>6</v>
      </c>
      <c r="B30" s="46" t="s">
        <v>166</v>
      </c>
      <c r="C30" s="122" t="s">
        <v>28</v>
      </c>
      <c r="D30" s="122"/>
      <c r="E30" s="122"/>
      <c r="F30" s="122"/>
      <c r="G30" s="45"/>
      <c r="H30" s="45"/>
      <c r="I30" s="45"/>
      <c r="J30" s="46" t="s">
        <v>24</v>
      </c>
      <c r="K30" s="62">
        <v>6</v>
      </c>
      <c r="L30" s="62" t="e">
        <f>#REF!+#REF!</f>
        <v>#REF!</v>
      </c>
      <c r="M30" s="123" t="s">
        <v>170</v>
      </c>
      <c r="N30" s="123"/>
      <c r="O30" s="155"/>
      <c r="W30" s="62">
        <v>8</v>
      </c>
    </row>
    <row r="31" spans="1:23" s="12" customFormat="1" ht="33.75" customHeight="1">
      <c r="A31" s="46">
        <v>7</v>
      </c>
      <c r="B31" s="79" t="s">
        <v>167</v>
      </c>
      <c r="C31" s="124" t="s">
        <v>168</v>
      </c>
      <c r="D31" s="124"/>
      <c r="E31" s="124"/>
      <c r="F31" s="124"/>
      <c r="G31" s="45"/>
      <c r="H31" s="45"/>
      <c r="I31" s="45"/>
      <c r="J31" s="79" t="s">
        <v>36</v>
      </c>
      <c r="K31" s="62">
        <v>15</v>
      </c>
      <c r="L31" s="64" t="e">
        <f>(#REF!+#REF!+#REF!+#REF!)/6</f>
        <v>#REF!</v>
      </c>
      <c r="M31" s="123" t="s">
        <v>169</v>
      </c>
      <c r="N31" s="123"/>
      <c r="O31" s="155"/>
      <c r="W31" s="62">
        <v>1</v>
      </c>
    </row>
    <row r="32" spans="1:23" s="12" customFormat="1" ht="35.450000000000003" customHeight="1">
      <c r="A32" s="46">
        <v>8</v>
      </c>
      <c r="B32" s="79"/>
      <c r="C32" s="125" t="s">
        <v>171</v>
      </c>
      <c r="D32" s="126"/>
      <c r="E32" s="126"/>
      <c r="F32" s="127"/>
      <c r="G32" s="45"/>
      <c r="H32" s="45"/>
      <c r="I32" s="45"/>
      <c r="J32" s="79" t="s">
        <v>24</v>
      </c>
      <c r="K32" s="62">
        <v>1</v>
      </c>
      <c r="L32" s="62"/>
      <c r="M32" s="123" t="s">
        <v>172</v>
      </c>
      <c r="N32" s="123"/>
      <c r="O32" s="155"/>
      <c r="W32" s="62">
        <v>3</v>
      </c>
    </row>
    <row r="33" spans="1:23" s="12" customFormat="1" ht="35.450000000000003" customHeight="1">
      <c r="A33" s="46">
        <v>9</v>
      </c>
      <c r="B33" s="79" t="s">
        <v>77</v>
      </c>
      <c r="C33" s="125" t="s">
        <v>33</v>
      </c>
      <c r="D33" s="126"/>
      <c r="E33" s="126"/>
      <c r="F33" s="127"/>
      <c r="G33" s="45"/>
      <c r="H33" s="45"/>
      <c r="I33" s="45"/>
      <c r="J33" s="79" t="s">
        <v>24</v>
      </c>
      <c r="K33" s="62">
        <v>1</v>
      </c>
      <c r="L33" s="62"/>
      <c r="M33" s="178" t="s">
        <v>138</v>
      </c>
      <c r="N33" s="179"/>
      <c r="O33" s="155"/>
      <c r="S33"/>
      <c r="W33" s="62">
        <v>3</v>
      </c>
    </row>
    <row r="34" spans="1:23" s="12" customFormat="1" ht="36" customHeight="1">
      <c r="A34" s="46">
        <v>10</v>
      </c>
      <c r="B34" s="79" t="s">
        <v>81</v>
      </c>
      <c r="C34" s="122" t="s">
        <v>40</v>
      </c>
      <c r="D34" s="122"/>
      <c r="E34" s="122"/>
      <c r="F34" s="122"/>
      <c r="G34" s="75"/>
      <c r="H34" s="75"/>
      <c r="I34" s="75"/>
      <c r="J34" s="79" t="s">
        <v>24</v>
      </c>
      <c r="K34" s="62">
        <v>1</v>
      </c>
      <c r="L34" s="62"/>
      <c r="M34" s="123" t="s">
        <v>92</v>
      </c>
      <c r="N34" s="123"/>
      <c r="O34" s="155"/>
      <c r="W34" s="62">
        <v>5</v>
      </c>
    </row>
    <row r="35" spans="1:23" s="12" customFormat="1" ht="35.450000000000003" customHeight="1">
      <c r="A35" s="46">
        <v>11</v>
      </c>
      <c r="B35" s="79" t="s">
        <v>80</v>
      </c>
      <c r="C35" s="125" t="s">
        <v>37</v>
      </c>
      <c r="D35" s="126"/>
      <c r="E35" s="126"/>
      <c r="F35" s="127"/>
      <c r="G35" s="79"/>
      <c r="H35" s="79"/>
      <c r="I35" s="79"/>
      <c r="J35" s="79" t="s">
        <v>32</v>
      </c>
      <c r="K35" s="62">
        <v>1</v>
      </c>
      <c r="L35" s="64"/>
      <c r="M35" s="180" t="s">
        <v>144</v>
      </c>
      <c r="N35" s="179"/>
      <c r="O35" s="155"/>
      <c r="W35" s="64">
        <v>1</v>
      </c>
    </row>
    <row r="36" spans="1:23" s="12" customFormat="1" ht="35.450000000000003" customHeight="1">
      <c r="A36" s="46">
        <v>12</v>
      </c>
      <c r="B36" s="79" t="s">
        <v>78</v>
      </c>
      <c r="C36" s="125" t="s">
        <v>182</v>
      </c>
      <c r="D36" s="126"/>
      <c r="E36" s="126"/>
      <c r="F36" s="127"/>
      <c r="G36" s="45"/>
      <c r="H36" s="45"/>
      <c r="I36" s="45"/>
      <c r="J36" s="79" t="s">
        <v>34</v>
      </c>
      <c r="K36" s="62">
        <v>1</v>
      </c>
      <c r="L36" s="64"/>
      <c r="M36" s="123" t="s">
        <v>145</v>
      </c>
      <c r="N36" s="123"/>
      <c r="O36" s="155"/>
      <c r="W36" s="64">
        <v>5</v>
      </c>
    </row>
    <row r="37" spans="1:23" s="12" customFormat="1" ht="35.450000000000003" customHeight="1">
      <c r="A37" s="46">
        <v>13</v>
      </c>
      <c r="B37" s="46" t="s">
        <v>89</v>
      </c>
      <c r="C37" s="125" t="s">
        <v>88</v>
      </c>
      <c r="D37" s="126"/>
      <c r="E37" s="126"/>
      <c r="F37" s="127"/>
      <c r="G37" s="45"/>
      <c r="H37" s="45"/>
      <c r="I37" s="45"/>
      <c r="J37" s="46" t="s">
        <v>24</v>
      </c>
      <c r="K37" s="62">
        <v>6</v>
      </c>
      <c r="L37" s="62" t="e">
        <f>#REF!</f>
        <v>#REF!</v>
      </c>
      <c r="M37" s="167" t="s">
        <v>91</v>
      </c>
      <c r="N37" s="123"/>
      <c r="O37" s="155"/>
      <c r="W37" s="62">
        <v>2</v>
      </c>
    </row>
    <row r="38" spans="1:23" s="12" customFormat="1" ht="35.450000000000003" customHeight="1">
      <c r="A38" s="46">
        <v>14</v>
      </c>
      <c r="B38" s="79" t="s">
        <v>76</v>
      </c>
      <c r="C38" s="124" t="s">
        <v>93</v>
      </c>
      <c r="D38" s="124"/>
      <c r="E38" s="124"/>
      <c r="F38" s="124"/>
      <c r="G38" s="45"/>
      <c r="H38" s="45"/>
      <c r="I38" s="45"/>
      <c r="J38" s="79" t="s">
        <v>24</v>
      </c>
      <c r="K38" s="62">
        <v>4</v>
      </c>
      <c r="L38" s="62" t="e">
        <f>#REF!</f>
        <v>#REF!</v>
      </c>
      <c r="M38" s="123" t="s">
        <v>139</v>
      </c>
      <c r="N38" s="123"/>
      <c r="O38" s="155"/>
      <c r="W38" s="62">
        <v>1</v>
      </c>
    </row>
    <row r="39" spans="1:23" s="12" customFormat="1" ht="42" customHeight="1">
      <c r="A39" s="46">
        <v>15</v>
      </c>
      <c r="B39" s="79" t="s">
        <v>173</v>
      </c>
      <c r="C39" s="125" t="s">
        <v>174</v>
      </c>
      <c r="D39" s="126"/>
      <c r="E39" s="126"/>
      <c r="F39" s="127"/>
      <c r="G39" s="45"/>
      <c r="H39" s="45"/>
      <c r="I39" s="45"/>
      <c r="J39" s="79" t="s">
        <v>36</v>
      </c>
      <c r="K39" s="62">
        <v>10</v>
      </c>
      <c r="L39" s="62" t="e">
        <f>#REF!</f>
        <v>#REF!</v>
      </c>
      <c r="M39" s="180" t="s">
        <v>175</v>
      </c>
      <c r="N39" s="179"/>
      <c r="O39" s="155"/>
      <c r="W39" s="62">
        <v>2</v>
      </c>
    </row>
    <row r="40" spans="1:23" s="12" customFormat="1" ht="35.450000000000003" customHeight="1">
      <c r="A40" s="46">
        <v>16</v>
      </c>
      <c r="B40" s="79" t="s">
        <v>84</v>
      </c>
      <c r="C40" s="122" t="s">
        <v>85</v>
      </c>
      <c r="D40" s="122"/>
      <c r="E40" s="122"/>
      <c r="F40" s="122"/>
      <c r="G40" s="45"/>
      <c r="H40" s="45"/>
      <c r="I40" s="45"/>
      <c r="J40" s="79" t="s">
        <v>36</v>
      </c>
      <c r="K40" s="62">
        <v>15</v>
      </c>
      <c r="L40" s="62" t="e">
        <f>#REF!</f>
        <v>#REF!</v>
      </c>
      <c r="M40" s="181" t="s">
        <v>140</v>
      </c>
      <c r="N40" s="168"/>
      <c r="O40" s="155"/>
      <c r="W40" s="62">
        <v>1</v>
      </c>
    </row>
    <row r="41" spans="1:23" s="12" customFormat="1" ht="35.450000000000003" customHeight="1">
      <c r="A41" s="115">
        <v>17</v>
      </c>
      <c r="B41" s="110" t="s">
        <v>151</v>
      </c>
      <c r="C41" s="170" t="s">
        <v>150</v>
      </c>
      <c r="D41" s="171"/>
      <c r="E41" s="171"/>
      <c r="F41" s="172"/>
      <c r="G41" s="45"/>
      <c r="H41" s="45"/>
      <c r="I41" s="45"/>
      <c r="J41" s="110" t="s">
        <v>24</v>
      </c>
      <c r="K41" s="62">
        <v>2</v>
      </c>
      <c r="L41" s="62"/>
      <c r="M41" s="111"/>
      <c r="N41" s="112"/>
      <c r="O41" s="155"/>
      <c r="W41" s="62"/>
    </row>
    <row r="42" spans="1:23" s="12" customFormat="1" ht="35.450000000000003" customHeight="1">
      <c r="A42" s="115">
        <v>18</v>
      </c>
      <c r="B42" s="46" t="s">
        <v>177</v>
      </c>
      <c r="C42" s="125" t="s">
        <v>178</v>
      </c>
      <c r="D42" s="126"/>
      <c r="E42" s="126"/>
      <c r="F42" s="127"/>
      <c r="G42" s="45"/>
      <c r="H42" s="45"/>
      <c r="I42" s="45"/>
      <c r="J42" s="46" t="s">
        <v>35</v>
      </c>
      <c r="K42" s="62">
        <v>2</v>
      </c>
      <c r="L42" s="62"/>
      <c r="M42" s="180"/>
      <c r="N42" s="179"/>
      <c r="O42" s="155"/>
      <c r="W42" s="62">
        <v>2</v>
      </c>
    </row>
    <row r="43" spans="1:23" s="12" customFormat="1" ht="35.450000000000003" customHeight="1">
      <c r="A43" s="115">
        <v>19</v>
      </c>
      <c r="B43" s="106"/>
      <c r="C43" s="125" t="s">
        <v>176</v>
      </c>
      <c r="D43" s="126"/>
      <c r="E43" s="126"/>
      <c r="F43" s="127"/>
      <c r="G43" s="79"/>
      <c r="H43" s="79"/>
      <c r="I43" s="79"/>
      <c r="J43" s="79" t="s">
        <v>24</v>
      </c>
      <c r="K43" s="62">
        <v>8</v>
      </c>
      <c r="L43" s="62"/>
      <c r="M43" s="123"/>
      <c r="N43" s="123"/>
      <c r="O43" s="155"/>
      <c r="W43" s="62">
        <v>35</v>
      </c>
    </row>
    <row r="44" spans="1:23" s="12" customFormat="1" ht="35.450000000000003" customHeight="1">
      <c r="A44" s="115">
        <v>20</v>
      </c>
      <c r="B44" s="79"/>
      <c r="C44" s="124" t="s">
        <v>179</v>
      </c>
      <c r="D44" s="124"/>
      <c r="E44" s="124"/>
      <c r="F44" s="124"/>
      <c r="G44" s="45"/>
      <c r="H44" s="45"/>
      <c r="I44" s="45"/>
      <c r="J44" s="79" t="s">
        <v>24</v>
      </c>
      <c r="K44" s="62">
        <v>1</v>
      </c>
      <c r="L44" s="62"/>
      <c r="M44" s="168"/>
      <c r="N44" s="168"/>
      <c r="O44" s="155"/>
      <c r="W44" s="62">
        <v>15</v>
      </c>
    </row>
    <row r="45" spans="1:23" s="12" customFormat="1" ht="35.450000000000003" customHeight="1">
      <c r="A45" s="115">
        <v>21</v>
      </c>
      <c r="B45" s="79" t="s">
        <v>87</v>
      </c>
      <c r="C45" s="122" t="s">
        <v>86</v>
      </c>
      <c r="D45" s="122"/>
      <c r="E45" s="122"/>
      <c r="F45" s="122"/>
      <c r="G45" s="45"/>
      <c r="H45" s="45"/>
      <c r="I45" s="45"/>
      <c r="J45" s="79" t="s">
        <v>42</v>
      </c>
      <c r="K45" s="62">
        <v>20</v>
      </c>
      <c r="L45" s="62" t="e">
        <f>#REF!</f>
        <v>#REF!</v>
      </c>
      <c r="M45" s="180"/>
      <c r="N45" s="179"/>
      <c r="O45" s="155"/>
      <c r="W45" s="62">
        <v>1</v>
      </c>
    </row>
    <row r="46" spans="1:23" s="12" customFormat="1" ht="35.450000000000003" customHeight="1">
      <c r="A46" s="115">
        <v>22</v>
      </c>
      <c r="B46" s="107" t="s">
        <v>75</v>
      </c>
      <c r="C46" s="169" t="s">
        <v>41</v>
      </c>
      <c r="D46" s="169"/>
      <c r="E46" s="169"/>
      <c r="F46" s="169"/>
      <c r="G46" s="48"/>
      <c r="H46" s="48"/>
      <c r="I46" s="48"/>
      <c r="J46" s="47" t="s">
        <v>42</v>
      </c>
      <c r="K46" s="66">
        <v>100</v>
      </c>
      <c r="L46" s="62"/>
      <c r="M46" s="180"/>
      <c r="N46" s="179"/>
      <c r="O46" s="155"/>
      <c r="W46" s="62">
        <v>1</v>
      </c>
    </row>
    <row r="47" spans="1:23" s="12" customFormat="1" ht="35.450000000000003" customHeight="1">
      <c r="A47" s="115">
        <v>23</v>
      </c>
      <c r="B47" s="79" t="s">
        <v>79</v>
      </c>
      <c r="C47" s="125" t="s">
        <v>38</v>
      </c>
      <c r="D47" s="126"/>
      <c r="E47" s="126"/>
      <c r="F47" s="127"/>
      <c r="G47" s="79"/>
      <c r="H47" s="79"/>
      <c r="I47" s="79"/>
      <c r="J47" s="79" t="s">
        <v>39</v>
      </c>
      <c r="K47" s="62">
        <v>1</v>
      </c>
      <c r="L47" s="62"/>
      <c r="M47" s="180"/>
      <c r="N47" s="179"/>
      <c r="O47" s="155"/>
      <c r="W47" s="62">
        <v>1</v>
      </c>
    </row>
    <row r="48" spans="1:23" s="12" customFormat="1" ht="35.450000000000003" customHeight="1">
      <c r="A48" s="115">
        <v>24</v>
      </c>
      <c r="B48" s="82" t="s">
        <v>94</v>
      </c>
      <c r="C48" s="120" t="s">
        <v>95</v>
      </c>
      <c r="D48" s="120"/>
      <c r="E48" s="120"/>
      <c r="F48" s="121"/>
      <c r="G48" s="83"/>
      <c r="H48" s="83"/>
      <c r="I48" s="83"/>
      <c r="J48" s="82" t="s">
        <v>36</v>
      </c>
      <c r="K48" s="84">
        <v>10</v>
      </c>
      <c r="L48" s="62"/>
      <c r="M48" s="77"/>
      <c r="N48" s="78"/>
      <c r="O48" s="155"/>
      <c r="W48" s="62"/>
    </row>
    <row r="49" spans="1:23" s="12" customFormat="1" ht="35.450000000000003" customHeight="1">
      <c r="A49" s="115">
        <v>25</v>
      </c>
      <c r="B49" s="82" t="s">
        <v>96</v>
      </c>
      <c r="C49" s="120" t="s">
        <v>97</v>
      </c>
      <c r="D49" s="120"/>
      <c r="E49" s="120"/>
      <c r="F49" s="121"/>
      <c r="G49" s="83"/>
      <c r="H49" s="83"/>
      <c r="I49" s="83"/>
      <c r="J49" s="82" t="s">
        <v>24</v>
      </c>
      <c r="K49" s="84">
        <v>4</v>
      </c>
      <c r="L49" s="62"/>
      <c r="M49" s="77"/>
      <c r="N49" s="78"/>
      <c r="O49" s="155"/>
      <c r="W49" s="62"/>
    </row>
    <row r="50" spans="1:23" s="12" customFormat="1" ht="35.450000000000003" customHeight="1">
      <c r="A50" s="115">
        <v>26</v>
      </c>
      <c r="B50" s="82" t="s">
        <v>98</v>
      </c>
      <c r="C50" s="120" t="s">
        <v>99</v>
      </c>
      <c r="D50" s="120"/>
      <c r="E50" s="120"/>
      <c r="F50" s="121"/>
      <c r="G50" s="83"/>
      <c r="H50" s="83"/>
      <c r="I50" s="83"/>
      <c r="J50" s="82" t="s">
        <v>24</v>
      </c>
      <c r="K50" s="84">
        <v>4</v>
      </c>
      <c r="L50" s="62"/>
      <c r="M50" s="77"/>
      <c r="N50" s="78"/>
      <c r="O50" s="155"/>
      <c r="W50" s="62"/>
    </row>
    <row r="51" spans="1:23" s="12" customFormat="1" ht="35.450000000000003" customHeight="1">
      <c r="A51" s="115">
        <v>27</v>
      </c>
      <c r="B51" s="82" t="s">
        <v>100</v>
      </c>
      <c r="C51" s="120" t="s">
        <v>101</v>
      </c>
      <c r="D51" s="120"/>
      <c r="E51" s="120"/>
      <c r="F51" s="121"/>
      <c r="G51" s="83"/>
      <c r="H51" s="83"/>
      <c r="I51" s="83"/>
      <c r="J51" s="82" t="s">
        <v>24</v>
      </c>
      <c r="K51" s="84">
        <v>4</v>
      </c>
      <c r="L51" s="62"/>
      <c r="M51" s="77"/>
      <c r="N51" s="78"/>
      <c r="O51" s="155"/>
      <c r="W51" s="62"/>
    </row>
    <row r="52" spans="1:23" s="12" customFormat="1" ht="35.450000000000003" customHeight="1">
      <c r="A52" s="115">
        <v>28</v>
      </c>
      <c r="B52" s="82" t="s">
        <v>102</v>
      </c>
      <c r="C52" s="120" t="s">
        <v>103</v>
      </c>
      <c r="D52" s="120"/>
      <c r="E52" s="120"/>
      <c r="F52" s="121"/>
      <c r="G52" s="83"/>
      <c r="H52" s="83"/>
      <c r="I52" s="83"/>
      <c r="J52" s="82" t="s">
        <v>24</v>
      </c>
      <c r="K52" s="84">
        <v>4</v>
      </c>
      <c r="L52" s="62"/>
      <c r="M52" s="77"/>
      <c r="N52" s="78"/>
      <c r="O52" s="155"/>
      <c r="W52" s="62"/>
    </row>
    <row r="53" spans="1:23" s="12" customFormat="1" ht="35.450000000000003" customHeight="1">
      <c r="A53" s="115">
        <v>29</v>
      </c>
      <c r="B53" s="82" t="s">
        <v>104</v>
      </c>
      <c r="C53" s="120" t="s">
        <v>105</v>
      </c>
      <c r="D53" s="120"/>
      <c r="E53" s="120"/>
      <c r="F53" s="121"/>
      <c r="G53" s="83"/>
      <c r="H53" s="83"/>
      <c r="I53" s="83"/>
      <c r="J53" s="82" t="s">
        <v>24</v>
      </c>
      <c r="K53" s="84">
        <v>4</v>
      </c>
      <c r="L53" s="62"/>
      <c r="M53" s="77"/>
      <c r="N53" s="78"/>
      <c r="O53" s="155"/>
      <c r="W53" s="62"/>
    </row>
    <row r="54" spans="1:23" s="12" customFormat="1" ht="35.450000000000003" customHeight="1">
      <c r="A54" s="115">
        <v>30</v>
      </c>
      <c r="B54" s="82" t="s">
        <v>106</v>
      </c>
      <c r="C54" s="120" t="s">
        <v>107</v>
      </c>
      <c r="D54" s="120"/>
      <c r="E54" s="120"/>
      <c r="F54" s="121"/>
      <c r="G54" s="83"/>
      <c r="H54" s="83"/>
      <c r="I54" s="83"/>
      <c r="J54" s="82" t="s">
        <v>24</v>
      </c>
      <c r="K54" s="84">
        <v>8</v>
      </c>
      <c r="L54" s="62"/>
      <c r="M54" s="77"/>
      <c r="N54" s="78"/>
      <c r="O54" s="155"/>
      <c r="W54" s="62"/>
    </row>
    <row r="55" spans="1:23" s="12" customFormat="1" ht="35.450000000000003" customHeight="1">
      <c r="A55" s="115">
        <v>31</v>
      </c>
      <c r="B55" s="82" t="s">
        <v>108</v>
      </c>
      <c r="C55" s="120" t="s">
        <v>109</v>
      </c>
      <c r="D55" s="120"/>
      <c r="E55" s="120"/>
      <c r="F55" s="121"/>
      <c r="G55" s="83"/>
      <c r="H55" s="83"/>
      <c r="I55" s="83"/>
      <c r="J55" s="82" t="s">
        <v>34</v>
      </c>
      <c r="K55" s="84">
        <v>10</v>
      </c>
      <c r="L55" s="62"/>
      <c r="M55" s="180"/>
      <c r="N55" s="179"/>
      <c r="O55" s="155"/>
      <c r="W55" s="62">
        <v>1</v>
      </c>
    </row>
    <row r="56" spans="1:23" s="12" customFormat="1" ht="35.450000000000003" customHeight="1">
      <c r="A56" s="115">
        <v>32</v>
      </c>
      <c r="B56" s="82" t="s">
        <v>110</v>
      </c>
      <c r="C56" s="120" t="s">
        <v>111</v>
      </c>
      <c r="D56" s="120"/>
      <c r="E56" s="120"/>
      <c r="F56" s="121"/>
      <c r="G56" s="83"/>
      <c r="H56" s="83"/>
      <c r="I56" s="83"/>
      <c r="J56" s="82" t="s">
        <v>112</v>
      </c>
      <c r="K56" s="84">
        <v>1</v>
      </c>
      <c r="L56" s="62"/>
      <c r="M56" s="77"/>
      <c r="N56" s="78"/>
      <c r="O56" s="155"/>
      <c r="W56" s="62"/>
    </row>
    <row r="57" spans="1:23" s="12" customFormat="1" ht="35.450000000000003" customHeight="1">
      <c r="A57" s="115">
        <v>33</v>
      </c>
      <c r="B57" s="82" t="s">
        <v>113</v>
      </c>
      <c r="C57" s="161" t="s">
        <v>114</v>
      </c>
      <c r="D57" s="162"/>
      <c r="E57" s="162"/>
      <c r="F57" s="163"/>
      <c r="G57" s="85"/>
      <c r="H57" s="85"/>
      <c r="I57" s="85"/>
      <c r="J57" s="86" t="s">
        <v>24</v>
      </c>
      <c r="K57" s="87">
        <v>3</v>
      </c>
      <c r="L57" s="62"/>
      <c r="M57" s="77"/>
      <c r="N57" s="78"/>
      <c r="O57" s="155"/>
      <c r="W57" s="62"/>
    </row>
    <row r="58" spans="1:23" s="12" customFormat="1" ht="35.450000000000003" customHeight="1">
      <c r="A58" s="115">
        <v>34</v>
      </c>
      <c r="B58" s="82" t="s">
        <v>115</v>
      </c>
      <c r="C58" s="161" t="s">
        <v>116</v>
      </c>
      <c r="D58" s="162"/>
      <c r="E58" s="162"/>
      <c r="F58" s="163"/>
      <c r="G58" s="85"/>
      <c r="H58" s="85"/>
      <c r="I58" s="85"/>
      <c r="J58" s="86" t="s">
        <v>117</v>
      </c>
      <c r="K58" s="87">
        <v>20</v>
      </c>
      <c r="L58" s="62"/>
      <c r="M58" s="77"/>
      <c r="N58" s="78"/>
      <c r="O58" s="155"/>
      <c r="W58" s="62"/>
    </row>
    <row r="59" spans="1:23" s="12" customFormat="1" ht="35.450000000000003" customHeight="1">
      <c r="A59" s="115">
        <v>35</v>
      </c>
      <c r="B59" s="82" t="s">
        <v>118</v>
      </c>
      <c r="C59" s="161" t="s">
        <v>119</v>
      </c>
      <c r="D59" s="162"/>
      <c r="E59" s="162"/>
      <c r="F59" s="163"/>
      <c r="G59" s="85"/>
      <c r="H59" s="85"/>
      <c r="I59" s="85"/>
      <c r="J59" s="86" t="s">
        <v>120</v>
      </c>
      <c r="K59" s="87">
        <v>3</v>
      </c>
      <c r="L59" s="62"/>
      <c r="M59" s="77"/>
      <c r="N59" s="78"/>
      <c r="O59" s="155"/>
      <c r="W59" s="62"/>
    </row>
    <row r="60" spans="1:23" s="12" customFormat="1" ht="35.450000000000003" customHeight="1">
      <c r="A60" s="115">
        <v>36</v>
      </c>
      <c r="B60" s="82"/>
      <c r="C60" s="173" t="s">
        <v>141</v>
      </c>
      <c r="D60" s="162"/>
      <c r="E60" s="162"/>
      <c r="F60" s="163"/>
      <c r="G60" s="85"/>
      <c r="H60" s="85"/>
      <c r="I60" s="85"/>
      <c r="J60" s="103" t="s">
        <v>34</v>
      </c>
      <c r="K60" s="87">
        <v>1</v>
      </c>
      <c r="L60" s="62"/>
      <c r="M60" s="180" t="s">
        <v>142</v>
      </c>
      <c r="N60" s="179"/>
      <c r="O60" s="155"/>
      <c r="W60" s="62"/>
    </row>
    <row r="61" spans="1:23" s="12" customFormat="1" ht="35.450000000000003" customHeight="1">
      <c r="A61" s="115">
        <v>37</v>
      </c>
      <c r="B61" s="82" t="s">
        <v>121</v>
      </c>
      <c r="C61" s="161" t="s">
        <v>122</v>
      </c>
      <c r="D61" s="162"/>
      <c r="E61" s="162"/>
      <c r="F61" s="163"/>
      <c r="G61" s="85"/>
      <c r="H61" s="85"/>
      <c r="I61" s="85"/>
      <c r="J61" s="86" t="s">
        <v>123</v>
      </c>
      <c r="K61" s="87">
        <v>2</v>
      </c>
      <c r="L61" s="62"/>
      <c r="M61" s="77"/>
      <c r="N61" s="78"/>
      <c r="O61" s="155"/>
      <c r="W61" s="62"/>
    </row>
    <row r="62" spans="1:23" s="12" customFormat="1" ht="35.450000000000003" customHeight="1">
      <c r="A62" s="115">
        <v>38</v>
      </c>
      <c r="B62" s="82"/>
      <c r="C62" s="173" t="s">
        <v>146</v>
      </c>
      <c r="D62" s="162"/>
      <c r="E62" s="162"/>
      <c r="F62" s="163"/>
      <c r="G62" s="85"/>
      <c r="H62" s="85"/>
      <c r="I62" s="85"/>
      <c r="J62" s="103" t="s">
        <v>112</v>
      </c>
      <c r="K62" s="87">
        <v>2</v>
      </c>
      <c r="L62" s="62"/>
      <c r="M62" s="104"/>
      <c r="N62" s="105"/>
      <c r="O62" s="155"/>
      <c r="W62" s="62"/>
    </row>
    <row r="63" spans="1:23" s="12" customFormat="1" ht="35.450000000000003" customHeight="1">
      <c r="A63" s="115">
        <v>39</v>
      </c>
      <c r="B63" s="82"/>
      <c r="C63" s="161" t="s">
        <v>124</v>
      </c>
      <c r="D63" s="162"/>
      <c r="E63" s="162"/>
      <c r="F63" s="163"/>
      <c r="G63" s="85"/>
      <c r="H63" s="85"/>
      <c r="I63" s="85"/>
      <c r="J63" s="86" t="s">
        <v>125</v>
      </c>
      <c r="K63" s="87">
        <v>20</v>
      </c>
      <c r="L63" s="62"/>
      <c r="M63" s="77"/>
      <c r="N63" s="78"/>
      <c r="O63" s="155"/>
      <c r="W63" s="62"/>
    </row>
    <row r="64" spans="1:23" s="12" customFormat="1" ht="35.450000000000003" customHeight="1">
      <c r="A64" s="115">
        <v>40</v>
      </c>
      <c r="B64" s="82"/>
      <c r="C64" s="161" t="s">
        <v>126</v>
      </c>
      <c r="D64" s="162"/>
      <c r="E64" s="162"/>
      <c r="F64" s="163"/>
      <c r="G64" s="85"/>
      <c r="H64" s="85"/>
      <c r="I64" s="85"/>
      <c r="J64" s="86" t="s">
        <v>127</v>
      </c>
      <c r="K64" s="87">
        <v>4</v>
      </c>
      <c r="L64" s="62"/>
      <c r="M64" s="77"/>
      <c r="N64" s="78"/>
      <c r="O64" s="155"/>
      <c r="W64" s="62"/>
    </row>
    <row r="65" spans="1:23" s="12" customFormat="1" ht="35.450000000000003" customHeight="1">
      <c r="A65" s="115">
        <v>41</v>
      </c>
      <c r="B65" s="79"/>
      <c r="C65" s="164" t="s">
        <v>128</v>
      </c>
      <c r="D65" s="165"/>
      <c r="E65" s="165"/>
      <c r="F65" s="166"/>
      <c r="G65" s="79"/>
      <c r="H65" s="79"/>
      <c r="I65" s="79"/>
      <c r="J65" s="79" t="s">
        <v>127</v>
      </c>
      <c r="K65" s="62">
        <v>3</v>
      </c>
      <c r="L65" s="62"/>
      <c r="M65" s="77"/>
      <c r="N65" s="78"/>
      <c r="O65" s="155"/>
      <c r="W65" s="62"/>
    </row>
    <row r="66" spans="1:23" s="12" customFormat="1" ht="35.450000000000003" customHeight="1">
      <c r="A66" s="79"/>
      <c r="B66" s="174" t="s">
        <v>135</v>
      </c>
      <c r="C66" s="175"/>
      <c r="D66" s="175"/>
      <c r="E66" s="175"/>
      <c r="F66" s="175"/>
      <c r="G66" s="175"/>
      <c r="H66" s="175"/>
      <c r="I66" s="175"/>
      <c r="J66" s="175"/>
      <c r="K66" s="175"/>
      <c r="L66" s="175"/>
      <c r="M66" s="175"/>
      <c r="N66" s="176"/>
      <c r="O66" s="156"/>
      <c r="W66" s="62"/>
    </row>
    <row r="67" spans="1:23" s="12" customFormat="1" ht="35.450000000000003" customHeight="1">
      <c r="A67" s="79"/>
      <c r="B67" s="86" t="s">
        <v>129</v>
      </c>
      <c r="C67" s="159" t="s">
        <v>130</v>
      </c>
      <c r="D67" s="159"/>
      <c r="E67" s="159"/>
      <c r="F67" s="160"/>
      <c r="G67" s="109"/>
      <c r="H67" s="109"/>
      <c r="I67" s="109"/>
      <c r="J67" s="109" t="s">
        <v>34</v>
      </c>
      <c r="K67" s="109">
        <v>1</v>
      </c>
      <c r="L67" s="62"/>
      <c r="M67" s="185" t="s">
        <v>147</v>
      </c>
      <c r="N67" s="186"/>
      <c r="O67" s="63"/>
      <c r="W67" s="62"/>
    </row>
    <row r="68" spans="1:23" s="12" customFormat="1" ht="35.450000000000003" customHeight="1">
      <c r="A68" s="46"/>
      <c r="B68" s="86" t="s">
        <v>77</v>
      </c>
      <c r="C68" s="159" t="s">
        <v>131</v>
      </c>
      <c r="D68" s="159"/>
      <c r="E68" s="159"/>
      <c r="F68" s="160"/>
      <c r="G68" s="109"/>
      <c r="H68" s="109"/>
      <c r="I68" s="109"/>
      <c r="J68" s="109" t="s">
        <v>24</v>
      </c>
      <c r="K68" s="109">
        <v>2</v>
      </c>
      <c r="L68" s="62"/>
      <c r="M68" s="187"/>
      <c r="N68" s="188"/>
      <c r="O68" s="63"/>
      <c r="W68" s="62">
        <v>1</v>
      </c>
    </row>
    <row r="69" spans="1:23" s="12" customFormat="1" ht="35.450000000000003" customHeight="1">
      <c r="A69" s="46"/>
      <c r="B69" s="86" t="s">
        <v>132</v>
      </c>
      <c r="C69" s="159" t="s">
        <v>133</v>
      </c>
      <c r="D69" s="159"/>
      <c r="E69" s="159"/>
      <c r="F69" s="160"/>
      <c r="G69" s="85"/>
      <c r="H69" s="85"/>
      <c r="I69" s="85"/>
      <c r="J69" s="86" t="s">
        <v>24</v>
      </c>
      <c r="K69" s="87">
        <v>1</v>
      </c>
      <c r="L69" s="76"/>
      <c r="M69" s="187"/>
      <c r="N69" s="188"/>
      <c r="O69" s="63"/>
      <c r="W69" s="65">
        <v>1</v>
      </c>
    </row>
    <row r="70" spans="1:23" s="12" customFormat="1" ht="35.450000000000003" customHeight="1">
      <c r="A70" s="46"/>
      <c r="B70" s="86"/>
      <c r="C70" s="159" t="s">
        <v>134</v>
      </c>
      <c r="D70" s="159"/>
      <c r="E70" s="159"/>
      <c r="F70" s="160"/>
      <c r="G70" s="85"/>
      <c r="H70" s="85"/>
      <c r="I70" s="85"/>
      <c r="J70" s="86" t="s">
        <v>36</v>
      </c>
      <c r="K70" s="87">
        <v>3</v>
      </c>
      <c r="L70" s="62" t="e">
        <f>#REF!</f>
        <v>#REF!</v>
      </c>
      <c r="M70" s="189"/>
      <c r="N70" s="190"/>
      <c r="O70" s="63"/>
      <c r="W70" s="62">
        <v>1</v>
      </c>
    </row>
    <row r="71" spans="1:23" s="12" customFormat="1" ht="35.450000000000003" customHeight="1">
      <c r="A71" s="94"/>
      <c r="B71" s="182" t="s">
        <v>136</v>
      </c>
      <c r="C71" s="183"/>
      <c r="D71" s="183"/>
      <c r="E71" s="183"/>
      <c r="F71" s="183"/>
      <c r="G71" s="183"/>
      <c r="H71" s="183"/>
      <c r="I71" s="183"/>
      <c r="J71" s="183"/>
      <c r="K71" s="183"/>
      <c r="L71" s="183"/>
      <c r="M71" s="183"/>
      <c r="N71" s="184"/>
      <c r="O71" s="72"/>
      <c r="W71" s="95"/>
    </row>
    <row r="72" spans="1:23" s="12" customFormat="1" ht="35.450000000000003" customHeight="1">
      <c r="A72" s="94"/>
      <c r="B72" s="103"/>
      <c r="C72" s="191" t="s">
        <v>180</v>
      </c>
      <c r="D72" s="159"/>
      <c r="E72" s="159"/>
      <c r="F72" s="160"/>
      <c r="G72" s="85"/>
      <c r="H72" s="85"/>
      <c r="I72" s="85"/>
      <c r="J72" s="86" t="s">
        <v>24</v>
      </c>
      <c r="K72" s="87">
        <v>1</v>
      </c>
      <c r="L72" s="95"/>
      <c r="M72" s="185" t="s">
        <v>148</v>
      </c>
      <c r="N72" s="186"/>
      <c r="O72" s="72"/>
      <c r="W72" s="95"/>
    </row>
    <row r="73" spans="1:23" s="12" customFormat="1" ht="35.450000000000003" customHeight="1">
      <c r="A73" s="94"/>
      <c r="B73" s="86"/>
      <c r="C73" s="191" t="s">
        <v>137</v>
      </c>
      <c r="D73" s="159"/>
      <c r="E73" s="159"/>
      <c r="F73" s="160"/>
      <c r="G73" s="85"/>
      <c r="H73" s="85"/>
      <c r="I73" s="85"/>
      <c r="J73" s="86" t="s">
        <v>24</v>
      </c>
      <c r="K73" s="87">
        <v>1</v>
      </c>
      <c r="L73" s="95"/>
      <c r="M73" s="187"/>
      <c r="N73" s="188"/>
      <c r="O73" s="72"/>
      <c r="W73" s="95"/>
    </row>
    <row r="74" spans="1:23" s="12" customFormat="1" ht="35.450000000000003" customHeight="1">
      <c r="A74" s="94"/>
      <c r="B74" s="86"/>
      <c r="C74" s="191" t="s">
        <v>181</v>
      </c>
      <c r="D74" s="159"/>
      <c r="E74" s="159"/>
      <c r="F74" s="160"/>
      <c r="G74" s="85"/>
      <c r="H74" s="85"/>
      <c r="I74" s="85"/>
      <c r="J74" s="86" t="s">
        <v>36</v>
      </c>
      <c r="K74" s="87">
        <v>5</v>
      </c>
      <c r="L74" s="95"/>
      <c r="M74" s="187"/>
      <c r="N74" s="188"/>
      <c r="O74" s="72"/>
      <c r="W74" s="95"/>
    </row>
    <row r="75" spans="1:23" s="12" customFormat="1" ht="35.450000000000003" customHeight="1">
      <c r="A75" s="94"/>
      <c r="B75" s="86"/>
      <c r="C75" s="191" t="s">
        <v>152</v>
      </c>
      <c r="D75" s="159"/>
      <c r="E75" s="159"/>
      <c r="F75" s="160"/>
      <c r="G75" s="85"/>
      <c r="H75" s="85"/>
      <c r="I75" s="85"/>
      <c r="J75" s="86" t="s">
        <v>36</v>
      </c>
      <c r="K75" s="87">
        <v>8</v>
      </c>
      <c r="L75" s="95"/>
      <c r="M75" s="189"/>
      <c r="N75" s="190"/>
      <c r="O75" s="72"/>
      <c r="W75" s="95"/>
    </row>
    <row r="76" spans="1:23" s="12" customFormat="1" ht="35.450000000000003" customHeight="1">
      <c r="A76" s="47"/>
      <c r="B76" s="96"/>
      <c r="C76" s="97"/>
      <c r="D76" s="97"/>
      <c r="E76" s="97"/>
      <c r="F76" s="98"/>
      <c r="G76" s="99"/>
      <c r="H76" s="99"/>
      <c r="I76" s="99"/>
      <c r="J76" s="96"/>
      <c r="K76" s="100"/>
      <c r="L76" s="95"/>
      <c r="M76" s="113"/>
      <c r="N76" s="114"/>
      <c r="O76" s="67"/>
      <c r="W76" s="95"/>
    </row>
    <row r="77" spans="1:23" s="13" customFormat="1" ht="18.75">
      <c r="A77" s="14"/>
      <c r="B77" s="14"/>
      <c r="C77" s="49"/>
      <c r="D77" s="50" t="s">
        <v>43</v>
      </c>
      <c r="E77" s="51"/>
      <c r="F77" s="51"/>
      <c r="G77" s="52"/>
      <c r="H77" s="52"/>
      <c r="I77" s="71" t="s">
        <v>44</v>
      </c>
      <c r="J77" s="71"/>
      <c r="K77" s="52"/>
      <c r="L77" s="52"/>
      <c r="M77" s="177" t="s">
        <v>45</v>
      </c>
      <c r="N77" s="177"/>
    </row>
    <row r="78" spans="1:23">
      <c r="A78" s="13"/>
      <c r="B78" s="13"/>
    </row>
  </sheetData>
  <mergeCells count="114">
    <mergeCell ref="M77:N77"/>
    <mergeCell ref="M33:N33"/>
    <mergeCell ref="M35:N35"/>
    <mergeCell ref="M40:N40"/>
    <mergeCell ref="M42:N42"/>
    <mergeCell ref="M45:N45"/>
    <mergeCell ref="M46:N46"/>
    <mergeCell ref="M47:N47"/>
    <mergeCell ref="M38:N38"/>
    <mergeCell ref="M39:N39"/>
    <mergeCell ref="M55:N55"/>
    <mergeCell ref="M34:N34"/>
    <mergeCell ref="B71:N71"/>
    <mergeCell ref="M72:N75"/>
    <mergeCell ref="C62:F62"/>
    <mergeCell ref="M67:N70"/>
    <mergeCell ref="C72:F72"/>
    <mergeCell ref="C73:F73"/>
    <mergeCell ref="C74:F74"/>
    <mergeCell ref="C75:F75"/>
    <mergeCell ref="M60:N60"/>
    <mergeCell ref="C40:F40"/>
    <mergeCell ref="C45:F45"/>
    <mergeCell ref="C57:F57"/>
    <mergeCell ref="C59:F59"/>
    <mergeCell ref="C61:F61"/>
    <mergeCell ref="C60:F60"/>
    <mergeCell ref="C58:F58"/>
    <mergeCell ref="C69:F69"/>
    <mergeCell ref="B66:N66"/>
    <mergeCell ref="C55:F55"/>
    <mergeCell ref="C68:F68"/>
    <mergeCell ref="C70:F70"/>
    <mergeCell ref="C63:F63"/>
    <mergeCell ref="C64:F64"/>
    <mergeCell ref="C65:F65"/>
    <mergeCell ref="C67:F67"/>
    <mergeCell ref="C35:F35"/>
    <mergeCell ref="C36:F36"/>
    <mergeCell ref="M36:N36"/>
    <mergeCell ref="M37:N37"/>
    <mergeCell ref="C37:F37"/>
    <mergeCell ref="C50:F50"/>
    <mergeCell ref="C51:F51"/>
    <mergeCell ref="C52:F52"/>
    <mergeCell ref="C42:F42"/>
    <mergeCell ref="M43:N43"/>
    <mergeCell ref="C44:F44"/>
    <mergeCell ref="M44:N44"/>
    <mergeCell ref="C46:F46"/>
    <mergeCell ref="C43:F43"/>
    <mergeCell ref="C47:F47"/>
    <mergeCell ref="C41:F41"/>
    <mergeCell ref="C53:F53"/>
    <mergeCell ref="C54:F54"/>
    <mergeCell ref="C56:F56"/>
    <mergeCell ref="M25:N25"/>
    <mergeCell ref="C26:F26"/>
    <mergeCell ref="M26:N26"/>
    <mergeCell ref="C19:F19"/>
    <mergeCell ref="C21:F21"/>
    <mergeCell ref="C23:F23"/>
    <mergeCell ref="M19:N19"/>
    <mergeCell ref="E1:L2"/>
    <mergeCell ref="N1:O1"/>
    <mergeCell ref="N2:O2"/>
    <mergeCell ref="A4:O4"/>
    <mergeCell ref="H6:I6"/>
    <mergeCell ref="M6:N6"/>
    <mergeCell ref="H8:I8"/>
    <mergeCell ref="M8:N8"/>
    <mergeCell ref="H10:I10"/>
    <mergeCell ref="M10:N10"/>
    <mergeCell ref="B24:N24"/>
    <mergeCell ref="O25:O66"/>
    <mergeCell ref="C12:F12"/>
    <mergeCell ref="M12:N12"/>
    <mergeCell ref="C13:F13"/>
    <mergeCell ref="M13:N13"/>
    <mergeCell ref="C14:F14"/>
    <mergeCell ref="M14:N14"/>
    <mergeCell ref="C15:F15"/>
    <mergeCell ref="M15:N15"/>
    <mergeCell ref="C20:F20"/>
    <mergeCell ref="C16:F16"/>
    <mergeCell ref="M16:N16"/>
    <mergeCell ref="C17:F17"/>
    <mergeCell ref="M17:N17"/>
    <mergeCell ref="C18:F18"/>
    <mergeCell ref="M18:N18"/>
    <mergeCell ref="O21:O22"/>
    <mergeCell ref="C22:F22"/>
    <mergeCell ref="M22:N22"/>
    <mergeCell ref="C48:F48"/>
    <mergeCell ref="C49:F49"/>
    <mergeCell ref="C27:F27"/>
    <mergeCell ref="M27:N27"/>
    <mergeCell ref="C28:F28"/>
    <mergeCell ref="M28:N28"/>
    <mergeCell ref="C29:F29"/>
    <mergeCell ref="M29:N29"/>
    <mergeCell ref="C30:F30"/>
    <mergeCell ref="M30:N30"/>
    <mergeCell ref="C31:F31"/>
    <mergeCell ref="M31:N31"/>
    <mergeCell ref="C32:F32"/>
    <mergeCell ref="M32:N32"/>
    <mergeCell ref="C33:F33"/>
    <mergeCell ref="M21:N21"/>
    <mergeCell ref="M23:N23"/>
    <mergeCell ref="C38:F38"/>
    <mergeCell ref="C39:F39"/>
    <mergeCell ref="C34:F34"/>
    <mergeCell ref="C25:F25"/>
  </mergeCells>
  <dataValidations count="1">
    <dataValidation showInputMessage="1" showErrorMessage="1" error="Please select from list" sqref="IC9:ID9 RY9:RZ9 ABU9:ABV9 ALQ9:ALR9 AVM9:AVN9 BFI9:BFJ9 BPE9:BPF9 BZA9:BZB9 CIW9:CIX9 CSS9:CST9 DCO9:DCP9 DMK9:DML9 DWG9:DWH9 EGC9:EGD9 EPY9:EPZ9 EZU9:EZV9 FJQ9:FJR9 FTM9:FTN9 GDI9:GDJ9 GNE9:GNF9 GXA9:GXB9 HGW9:HGX9 HQS9:HQT9 IAO9:IAP9 IKK9:IKL9 IUG9:IUH9 JEC9:JED9 JNY9:JNZ9 JXU9:JXV9 KHQ9:KHR9 KRM9:KRN9 LBI9:LBJ9 LLE9:LLF9 LVA9:LVB9 MEW9:MEX9 MOS9:MOT9 MYO9:MYP9 NIK9:NIL9 NSG9:NSH9 OCC9:OCD9 OLY9:OLZ9 OVU9:OVV9 PFQ9:PFR9 PPM9:PPN9 PZI9:PZJ9 QJE9:QJF9 QTA9:QTB9 RCW9:RCX9 RMS9:RMT9 RWO9:RWP9 SGK9:SGL9 SQG9:SQH9 TAC9:TAD9 TJY9:TJZ9 TTU9:TTV9 UDQ9:UDR9 UNM9:UNN9 UXI9:UXJ9 VHE9:VHF9 VRA9:VRB9 WAW9:WAX9 WKS9:WKT9 WUO9:WUP9 IF10 SB10 ABX10 ALT10 AVP10 BFL10 BPH10 BZD10 CIZ10 CSV10 DCR10 DMN10 DWJ10 EGF10 EQB10 EZX10 FJT10 FTP10 GDL10 GNH10 GXD10 HGZ10 HQV10 IAR10 IKN10 IUJ10 JEF10 JOB10 JXX10 KHT10 KRP10 LBL10 LLH10 LVD10 MEZ10 MOV10 MYR10 NIN10 NSJ10 OCF10 OMB10 OVX10 PFT10 PPP10 PZL10 QJH10 QTD10 RCZ10 RMV10 RWR10 SGN10 SQJ10 TAF10 TKB10 TTX10 UDT10 UNP10 UXL10 VHH10 VRD10 WAZ10 WKV10 WUR10 ID11 RZ11 ABV11 ALR11 AVN11 BFJ11 BPF11 BZB11 CIX11 CST11 DCP11 DML11 DWH11 EGD11 EPZ11 EZV11 FJR11 FTN11 GDJ11 GNF11 GXB11 HGX11 HQT11 IAP11 IKL11 IUH11 JED11 JNZ11 JXV11 KHR11 KRN11 LBJ11 LLF11 LVB11 MEX11 MOT11 MYP11 NIL11 NSH11 OCD11 OLZ11 OVV11 PFR11 PPN11 PZJ11 QJF11 QTB11 RCX11 RMT11 RWP11 SGL11 SQH11 TAD11 TJZ11 TTV11 UDR11 UNN11 UXJ11 VHF11 VRB11 WAX11 WKT11 WUP11 I65578:J65578 IC65578:ID65578 RY65578:RZ65578 ABU65578:ABV65578 ALQ65578:ALR65578 AVM65578:AVN65578 BFI65578:BFJ65578 BPE65578:BPF65578 BZA65578:BZB65578 CIW65578:CIX65578 CSS65578:CST65578 DCO65578:DCP65578 DMK65578:DML65578 DWG65578:DWH65578 EGC65578:EGD65578 EPY65578:EPZ65578 EZU65578:EZV65578 FJQ65578:FJR65578 FTM65578:FTN65578 GDI65578:GDJ65578 GNE65578:GNF65578 GXA65578:GXB65578 HGW65578:HGX65578 HQS65578:HQT65578 IAO65578:IAP65578 IKK65578:IKL65578 IUG65578:IUH65578 JEC65578:JED65578 JNY65578:JNZ65578 JXU65578:JXV65578 KHQ65578:KHR65578 KRM65578:KRN65578 LBI65578:LBJ65578 LLE65578:LLF65578 LVA65578:LVB65578 MEW65578:MEX65578 MOS65578:MOT65578 MYO65578:MYP65578 NIK65578:NIL65578 NSG65578:NSH65578 OCC65578:OCD65578 OLY65578:OLZ65578 OVU65578:OVV65578 PFQ65578:PFR65578 PPM65578:PPN65578 PZI65578:PZJ65578 QJE65578:QJF65578 QTA65578:QTB65578 RCW65578:RCX65578 RMS65578:RMT65578 RWO65578:RWP65578 SGK65578:SGL65578 SQG65578:SQH65578 TAC65578:TAD65578 TJY65578:TJZ65578 TTU65578:TTV65578 UDQ65578:UDR65578 UNM65578:UNN65578 UXI65578:UXJ65578 VHE65578:VHF65578 VRA65578:VRB65578 WAW65578:WAX65578 WKS65578:WKT65578 WUO65578:WUP65578 IF65579 SB65579 ABX65579 ALT65579 AVP65579 BFL65579 BPH65579 BZD65579 CIZ65579 CSV65579 DCR65579 DMN65579 DWJ65579 EGF65579 EQB65579 EZX65579 FJT65579 FTP65579 GDL65579 GNH65579 GXD65579 HGZ65579 HQV65579 IAR65579 IKN65579 IUJ65579 JEF65579 JOB65579 JXX65579 KHT65579 KRP65579 LBL65579 LLH65579 LVD65579 MEZ65579 MOV65579 MYR65579 NIN65579 NSJ65579 OCF65579 OMB65579 OVX65579 PFT65579 PPP65579 PZL65579 QJH65579 QTD65579 RCZ65579 RMV65579 RWR65579 SGN65579 SQJ65579 TAF65579 TKB65579 TTX65579 UDT65579 UNP65579 UXL65579 VHH65579 VRD65579 WAZ65579 WKV65579 WUR65579 ID65580 RZ65580 ABV65580 ALR65580 AVN65580 BFJ65580 BPF65580 BZB65580 CIX65580 CST65580 DCP65580 DML65580 DWH65580 EGD65580 EPZ65580 EZV65580 FJR65580 FTN65580 GDJ65580 GNF65580 GXB65580 HGX65580 HQT65580 IAP65580 IKL65580 IUH65580 JED65580 JNZ65580 JXV65580 KHR65580 KRN65580 LBJ65580 LLF65580 LVB65580 MEX65580 MOT65580 MYP65580 NIL65580 NSH65580 OCD65580 OLZ65580 OVV65580 PFR65580 PPN65580 PZJ65580 QJF65580 QTB65580 RCX65580 RMT65580 RWP65580 SGL65580 SQH65580 TAD65580 TJZ65580 TTV65580 UDR65580 UNN65580 UXJ65580 VHF65580 VRB65580 WAX65580 WKT65580 WUP65580 I131114:J131114 IC131114:ID131114 RY131114:RZ131114 ABU131114:ABV131114 ALQ131114:ALR131114 AVM131114:AVN131114 BFI131114:BFJ131114 BPE131114:BPF131114 BZA131114:BZB131114 CIW131114:CIX131114 CSS131114:CST131114 DCO131114:DCP131114 DMK131114:DML131114 DWG131114:DWH131114 EGC131114:EGD131114 EPY131114:EPZ131114 EZU131114:EZV131114 FJQ131114:FJR131114 FTM131114:FTN131114 GDI131114:GDJ131114 GNE131114:GNF131114 GXA131114:GXB131114 HGW131114:HGX131114 HQS131114:HQT131114 IAO131114:IAP131114 IKK131114:IKL131114 IUG131114:IUH131114 JEC131114:JED131114 JNY131114:JNZ131114 JXU131114:JXV131114 KHQ131114:KHR131114 KRM131114:KRN131114 LBI131114:LBJ131114 LLE131114:LLF131114 LVA131114:LVB131114 MEW131114:MEX131114 MOS131114:MOT131114 MYO131114:MYP131114 NIK131114:NIL131114 NSG131114:NSH131114 OCC131114:OCD131114 OLY131114:OLZ131114 OVU131114:OVV131114 PFQ131114:PFR131114 PPM131114:PPN131114 PZI131114:PZJ131114 QJE131114:QJF131114 QTA131114:QTB131114 RCW131114:RCX131114 RMS131114:RMT131114 RWO131114:RWP131114 SGK131114:SGL131114 SQG131114:SQH131114 TAC131114:TAD131114 TJY131114:TJZ131114 TTU131114:TTV131114 UDQ131114:UDR131114 UNM131114:UNN131114 UXI131114:UXJ131114 VHE131114:VHF131114 VRA131114:VRB131114 WAW131114:WAX131114 WKS131114:WKT131114 WUO131114:WUP131114 IF131115 SB131115 ABX131115 ALT131115 AVP131115 BFL131115 BPH131115 BZD131115 CIZ131115 CSV131115 DCR131115 DMN131115 DWJ131115 EGF131115 EQB131115 EZX131115 FJT131115 FTP131115 GDL131115 GNH131115 GXD131115 HGZ131115 HQV131115 IAR131115 IKN131115 IUJ131115 JEF131115 JOB131115 JXX131115 KHT131115 KRP131115 LBL131115 LLH131115 LVD131115 MEZ131115 MOV131115 MYR131115 NIN131115 NSJ131115 OCF131115 OMB131115 OVX131115 PFT131115 PPP131115 PZL131115 QJH131115 QTD131115 RCZ131115 RMV131115 RWR131115 SGN131115 SQJ131115 TAF131115 TKB131115 TTX131115 UDT131115 UNP131115 UXL131115 VHH131115 VRD131115 WAZ131115 WKV131115 WUR131115 ID131116 RZ131116 ABV131116 ALR131116 AVN131116 BFJ131116 BPF131116 BZB131116 CIX131116 CST131116 DCP131116 DML131116 DWH131116 EGD131116 EPZ131116 EZV131116 FJR131116 FTN131116 GDJ131116 GNF131116 GXB131116 HGX131116 HQT131116 IAP131116 IKL131116 IUH131116 JED131116 JNZ131116 JXV131116 KHR131116 KRN131116 LBJ131116 LLF131116 LVB131116 MEX131116 MOT131116 MYP131116 NIL131116 NSH131116 OCD131116 OLZ131116 OVV131116 PFR131116 PPN131116 PZJ131116 QJF131116 QTB131116 RCX131116 RMT131116 RWP131116 SGL131116 SQH131116 TAD131116 TJZ131116 TTV131116 UDR131116 UNN131116 UXJ131116 VHF131116 VRB131116 WAX131116 WKT131116 WUP131116 I196650:J196650 IC196650:ID196650 RY196650:RZ196650 ABU196650:ABV196650 ALQ196650:ALR196650 AVM196650:AVN196650 BFI196650:BFJ196650 BPE196650:BPF196650 BZA196650:BZB196650 CIW196650:CIX196650 CSS196650:CST196650 DCO196650:DCP196650 DMK196650:DML196650 DWG196650:DWH196650 EGC196650:EGD196650 EPY196650:EPZ196650 EZU196650:EZV196650 FJQ196650:FJR196650 FTM196650:FTN196650 GDI196650:GDJ196650 GNE196650:GNF196650 GXA196650:GXB196650 HGW196650:HGX196650 HQS196650:HQT196650 IAO196650:IAP196650 IKK196650:IKL196650 IUG196650:IUH196650 JEC196650:JED196650 JNY196650:JNZ196650 JXU196650:JXV196650 KHQ196650:KHR196650 KRM196650:KRN196650 LBI196650:LBJ196650 LLE196650:LLF196650 LVA196650:LVB196650 MEW196650:MEX196650 MOS196650:MOT196650 MYO196650:MYP196650 NIK196650:NIL196650 NSG196650:NSH196650 OCC196650:OCD196650 OLY196650:OLZ196650 OVU196650:OVV196650 PFQ196650:PFR196650 PPM196650:PPN196650 PZI196650:PZJ196650 QJE196650:QJF196650 QTA196650:QTB196650 RCW196650:RCX196650 RMS196650:RMT196650 RWO196650:RWP196650 SGK196650:SGL196650 SQG196650:SQH196650 TAC196650:TAD196650 TJY196650:TJZ196650 TTU196650:TTV196650 UDQ196650:UDR196650 UNM196650:UNN196650 UXI196650:UXJ196650 VHE196650:VHF196650 VRA196650:VRB196650 WAW196650:WAX196650 WKS196650:WKT196650 WUO196650:WUP196650 IF196651 SB196651 ABX196651 ALT196651 AVP196651 BFL196651 BPH196651 BZD196651 CIZ196651 CSV196651 DCR196651 DMN196651 DWJ196651 EGF196651 EQB196651 EZX196651 FJT196651 FTP196651 GDL196651 GNH196651 GXD196651 HGZ196651 HQV196651 IAR196651 IKN196651 IUJ196651 JEF196651 JOB196651 JXX196651 KHT196651 KRP196651 LBL196651 LLH196651 LVD196651 MEZ196651 MOV196651 MYR196651 NIN196651 NSJ196651 OCF196651 OMB196651 OVX196651 PFT196651 PPP196651 PZL196651 QJH196651 QTD196651 RCZ196651 RMV196651 RWR196651 SGN196651 SQJ196651 TAF196651 TKB196651 TTX196651 UDT196651 UNP196651 UXL196651 VHH196651 VRD196651 WAZ196651 WKV196651 WUR196651 ID196652 RZ196652 ABV196652 ALR196652 AVN196652 BFJ196652 BPF196652 BZB196652 CIX196652 CST196652 DCP196652 DML196652 DWH196652 EGD196652 EPZ196652 EZV196652 FJR196652 FTN196652 GDJ196652 GNF196652 GXB196652 HGX196652 HQT196652 IAP196652 IKL196652 IUH196652 JED196652 JNZ196652 JXV196652 KHR196652 KRN196652 LBJ196652 LLF196652 LVB196652 MEX196652 MOT196652 MYP196652 NIL196652 NSH196652 OCD196652 OLZ196652 OVV196652 PFR196652 PPN196652 PZJ196652 QJF196652 QTB196652 RCX196652 RMT196652 RWP196652 SGL196652 SQH196652 TAD196652 TJZ196652 TTV196652 UDR196652 UNN196652 UXJ196652 VHF196652 VRB196652 WAX196652 WKT196652 WUP196652 I262186:J262186 IC262186:ID262186 RY262186:RZ262186 ABU262186:ABV262186 ALQ262186:ALR262186 AVM262186:AVN262186 BFI262186:BFJ262186 BPE262186:BPF262186 BZA262186:BZB262186 CIW262186:CIX262186 CSS262186:CST262186 DCO262186:DCP262186 DMK262186:DML262186 DWG262186:DWH262186 EGC262186:EGD262186 EPY262186:EPZ262186 EZU262186:EZV262186 FJQ262186:FJR262186 FTM262186:FTN262186 GDI262186:GDJ262186 GNE262186:GNF262186 GXA262186:GXB262186 HGW262186:HGX262186 HQS262186:HQT262186 IAO262186:IAP262186 IKK262186:IKL262186 IUG262186:IUH262186 JEC262186:JED262186 JNY262186:JNZ262186 JXU262186:JXV262186 KHQ262186:KHR262186 KRM262186:KRN262186 LBI262186:LBJ262186 LLE262186:LLF262186 LVA262186:LVB262186 MEW262186:MEX262186 MOS262186:MOT262186 MYO262186:MYP262186 NIK262186:NIL262186 NSG262186:NSH262186 OCC262186:OCD262186 OLY262186:OLZ262186 OVU262186:OVV262186 PFQ262186:PFR262186 PPM262186:PPN262186 PZI262186:PZJ262186 QJE262186:QJF262186 QTA262186:QTB262186 RCW262186:RCX262186 RMS262186:RMT262186 RWO262186:RWP262186 SGK262186:SGL262186 SQG262186:SQH262186 TAC262186:TAD262186 TJY262186:TJZ262186 TTU262186:TTV262186 UDQ262186:UDR262186 UNM262186:UNN262186 UXI262186:UXJ262186 VHE262186:VHF262186 VRA262186:VRB262186 WAW262186:WAX262186 WKS262186:WKT262186 WUO262186:WUP262186 IF262187 SB262187 ABX262187 ALT262187 AVP262187 BFL262187 BPH262187 BZD262187 CIZ262187 CSV262187 DCR262187 DMN262187 DWJ262187 EGF262187 EQB262187 EZX262187 FJT262187 FTP262187 GDL262187 GNH262187 GXD262187 HGZ262187 HQV262187 IAR262187 IKN262187 IUJ262187 JEF262187 JOB262187 JXX262187 KHT262187 KRP262187 LBL262187 LLH262187 LVD262187 MEZ262187 MOV262187 MYR262187 NIN262187 NSJ262187 OCF262187 OMB262187 OVX262187 PFT262187 PPP262187 PZL262187 QJH262187 QTD262187 RCZ262187 RMV262187 RWR262187 SGN262187 SQJ262187 TAF262187 TKB262187 TTX262187 UDT262187 UNP262187 UXL262187 VHH262187 VRD262187 WAZ262187 WKV262187 WUR262187 ID262188 RZ262188 ABV262188 ALR262188 AVN262188 BFJ262188 BPF262188 BZB262188 CIX262188 CST262188 DCP262188 DML262188 DWH262188 EGD262188 EPZ262188 EZV262188 FJR262188 FTN262188 GDJ262188 GNF262188 GXB262188 HGX262188 HQT262188 IAP262188 IKL262188 IUH262188 JED262188 JNZ262188 JXV262188 KHR262188 KRN262188 LBJ262188 LLF262188 LVB262188 MEX262188 MOT262188 MYP262188 NIL262188 NSH262188 OCD262188 OLZ262188 OVV262188 PFR262188 PPN262188 PZJ262188 QJF262188 QTB262188 RCX262188 RMT262188 RWP262188 SGL262188 SQH262188 TAD262188 TJZ262188 TTV262188 UDR262188 UNN262188 UXJ262188 VHF262188 VRB262188 WAX262188 WKT262188 WUP262188 I327722:J327722 IC327722:ID327722 RY327722:RZ327722 ABU327722:ABV327722 ALQ327722:ALR327722 AVM327722:AVN327722 BFI327722:BFJ327722 BPE327722:BPF327722 BZA327722:BZB327722 CIW327722:CIX327722 CSS327722:CST327722 DCO327722:DCP327722 DMK327722:DML327722 DWG327722:DWH327722 EGC327722:EGD327722 EPY327722:EPZ327722 EZU327722:EZV327722 FJQ327722:FJR327722 FTM327722:FTN327722 GDI327722:GDJ327722 GNE327722:GNF327722 GXA327722:GXB327722 HGW327722:HGX327722 HQS327722:HQT327722 IAO327722:IAP327722 IKK327722:IKL327722 IUG327722:IUH327722 JEC327722:JED327722 JNY327722:JNZ327722 JXU327722:JXV327722 KHQ327722:KHR327722 KRM327722:KRN327722 LBI327722:LBJ327722 LLE327722:LLF327722 LVA327722:LVB327722 MEW327722:MEX327722 MOS327722:MOT327722 MYO327722:MYP327722 NIK327722:NIL327722 NSG327722:NSH327722 OCC327722:OCD327722 OLY327722:OLZ327722 OVU327722:OVV327722 PFQ327722:PFR327722 PPM327722:PPN327722 PZI327722:PZJ327722 QJE327722:QJF327722 QTA327722:QTB327722 RCW327722:RCX327722 RMS327722:RMT327722 RWO327722:RWP327722 SGK327722:SGL327722 SQG327722:SQH327722 TAC327722:TAD327722 TJY327722:TJZ327722 TTU327722:TTV327722 UDQ327722:UDR327722 UNM327722:UNN327722 UXI327722:UXJ327722 VHE327722:VHF327722 VRA327722:VRB327722 WAW327722:WAX327722 WKS327722:WKT327722 WUO327722:WUP327722 IF327723 SB327723 ABX327723 ALT327723 AVP327723 BFL327723 BPH327723 BZD327723 CIZ327723 CSV327723 DCR327723 DMN327723 DWJ327723 EGF327723 EQB327723 EZX327723 FJT327723 FTP327723 GDL327723 GNH327723 GXD327723 HGZ327723 HQV327723 IAR327723 IKN327723 IUJ327723 JEF327723 JOB327723 JXX327723 KHT327723 KRP327723 LBL327723 LLH327723 LVD327723 MEZ327723 MOV327723 MYR327723 NIN327723 NSJ327723 OCF327723 OMB327723 OVX327723 PFT327723 PPP327723 PZL327723 QJH327723 QTD327723 RCZ327723 RMV327723 RWR327723 SGN327723 SQJ327723 TAF327723 TKB327723 TTX327723 UDT327723 UNP327723 UXL327723 VHH327723 VRD327723 WAZ327723 WKV327723 WUR327723 ID327724 RZ327724 ABV327724 ALR327724 AVN327724 BFJ327724 BPF327724 BZB327724 CIX327724 CST327724 DCP327724 DML327724 DWH327724 EGD327724 EPZ327724 EZV327724 FJR327724 FTN327724 GDJ327724 GNF327724 GXB327724 HGX327724 HQT327724 IAP327724 IKL327724 IUH327724 JED327724 JNZ327724 JXV327724 KHR327724 KRN327724 LBJ327724 LLF327724 LVB327724 MEX327724 MOT327724 MYP327724 NIL327724 NSH327724 OCD327724 OLZ327724 OVV327724 PFR327724 PPN327724 PZJ327724 QJF327724 QTB327724 RCX327724 RMT327724 RWP327724 SGL327724 SQH327724 TAD327724 TJZ327724 TTV327724 UDR327724 UNN327724 UXJ327724 VHF327724 VRB327724 WAX327724 WKT327724 WUP327724 I393258:J393258 IC393258:ID393258 RY393258:RZ393258 ABU393258:ABV393258 ALQ393258:ALR393258 AVM393258:AVN393258 BFI393258:BFJ393258 BPE393258:BPF393258 BZA393258:BZB393258 CIW393258:CIX393258 CSS393258:CST393258 DCO393258:DCP393258 DMK393258:DML393258 DWG393258:DWH393258 EGC393258:EGD393258 EPY393258:EPZ393258 EZU393258:EZV393258 FJQ393258:FJR393258 FTM393258:FTN393258 GDI393258:GDJ393258 GNE393258:GNF393258 GXA393258:GXB393258 HGW393258:HGX393258 HQS393258:HQT393258 IAO393258:IAP393258 IKK393258:IKL393258 IUG393258:IUH393258 JEC393258:JED393258 JNY393258:JNZ393258 JXU393258:JXV393258 KHQ393258:KHR393258 KRM393258:KRN393258 LBI393258:LBJ393258 LLE393258:LLF393258 LVA393258:LVB393258 MEW393258:MEX393258 MOS393258:MOT393258 MYO393258:MYP393258 NIK393258:NIL393258 NSG393258:NSH393258 OCC393258:OCD393258 OLY393258:OLZ393258 OVU393258:OVV393258 PFQ393258:PFR393258 PPM393258:PPN393258 PZI393258:PZJ393258 QJE393258:QJF393258 QTA393258:QTB393258 RCW393258:RCX393258 RMS393258:RMT393258 RWO393258:RWP393258 SGK393258:SGL393258 SQG393258:SQH393258 TAC393258:TAD393258 TJY393258:TJZ393258 TTU393258:TTV393258 UDQ393258:UDR393258 UNM393258:UNN393258 UXI393258:UXJ393258 VHE393258:VHF393258 VRA393258:VRB393258 WAW393258:WAX393258 WKS393258:WKT393258 WUO393258:WUP393258 IF393259 SB393259 ABX393259 ALT393259 AVP393259 BFL393259 BPH393259 BZD393259 CIZ393259 CSV393259 DCR393259 DMN393259 DWJ393259 EGF393259 EQB393259 EZX393259 FJT393259 FTP393259 GDL393259 GNH393259 GXD393259 HGZ393259 HQV393259 IAR393259 IKN393259 IUJ393259 JEF393259 JOB393259 JXX393259 KHT393259 KRP393259 LBL393259 LLH393259 LVD393259 MEZ393259 MOV393259 MYR393259 NIN393259 NSJ393259 OCF393259 OMB393259 OVX393259 PFT393259 PPP393259 PZL393259 QJH393259 QTD393259 RCZ393259 RMV393259 RWR393259 SGN393259 SQJ393259 TAF393259 TKB393259 TTX393259 UDT393259 UNP393259 UXL393259 VHH393259 VRD393259 WAZ393259 WKV393259 WUR393259 ID393260 RZ393260 ABV393260 ALR393260 AVN393260 BFJ393260 BPF393260 BZB393260 CIX393260 CST393260 DCP393260 DML393260 DWH393260 EGD393260 EPZ393260 EZV393260 FJR393260 FTN393260 GDJ393260 GNF393260 GXB393260 HGX393260 HQT393260 IAP393260 IKL393260 IUH393260 JED393260 JNZ393260 JXV393260 KHR393260 KRN393260 LBJ393260 LLF393260 LVB393260 MEX393260 MOT393260 MYP393260 NIL393260 NSH393260 OCD393260 OLZ393260 OVV393260 PFR393260 PPN393260 PZJ393260 QJF393260 QTB393260 RCX393260 RMT393260 RWP393260 SGL393260 SQH393260 TAD393260 TJZ393260 TTV393260 UDR393260 UNN393260 UXJ393260 VHF393260 VRB393260 WAX393260 WKT393260 WUP393260 I458794:J458794 IC458794:ID458794 RY458794:RZ458794 ABU458794:ABV458794 ALQ458794:ALR458794 AVM458794:AVN458794 BFI458794:BFJ458794 BPE458794:BPF458794 BZA458794:BZB458794 CIW458794:CIX458794 CSS458794:CST458794 DCO458794:DCP458794 DMK458794:DML458794 DWG458794:DWH458794 EGC458794:EGD458794 EPY458794:EPZ458794 EZU458794:EZV458794 FJQ458794:FJR458794 FTM458794:FTN458794 GDI458794:GDJ458794 GNE458794:GNF458794 GXA458794:GXB458794 HGW458794:HGX458794 HQS458794:HQT458794 IAO458794:IAP458794 IKK458794:IKL458794 IUG458794:IUH458794 JEC458794:JED458794 JNY458794:JNZ458794 JXU458794:JXV458794 KHQ458794:KHR458794 KRM458794:KRN458794 LBI458794:LBJ458794 LLE458794:LLF458794 LVA458794:LVB458794 MEW458794:MEX458794 MOS458794:MOT458794 MYO458794:MYP458794 NIK458794:NIL458794 NSG458794:NSH458794 OCC458794:OCD458794 OLY458794:OLZ458794 OVU458794:OVV458794 PFQ458794:PFR458794 PPM458794:PPN458794 PZI458794:PZJ458794 QJE458794:QJF458794 QTA458794:QTB458794 RCW458794:RCX458794 RMS458794:RMT458794 RWO458794:RWP458794 SGK458794:SGL458794 SQG458794:SQH458794 TAC458794:TAD458794 TJY458794:TJZ458794 TTU458794:TTV458794 UDQ458794:UDR458794 UNM458794:UNN458794 UXI458794:UXJ458794 VHE458794:VHF458794 VRA458794:VRB458794 WAW458794:WAX458794 WKS458794:WKT458794 WUO458794:WUP458794 IF458795 SB458795 ABX458795 ALT458795 AVP458795 BFL458795 BPH458795 BZD458795 CIZ458795 CSV458795 DCR458795 DMN458795 DWJ458795 EGF458795 EQB458795 EZX458795 FJT458795 FTP458795 GDL458795 GNH458795 GXD458795 HGZ458795 HQV458795 IAR458795 IKN458795 IUJ458795 JEF458795 JOB458795 JXX458795 KHT458795 KRP458795 LBL458795 LLH458795 LVD458795 MEZ458795 MOV458795 MYR458795 NIN458795 NSJ458795 OCF458795 OMB458795 OVX458795 PFT458795 PPP458795 PZL458795 QJH458795 QTD458795 RCZ458795 RMV458795 RWR458795 SGN458795 SQJ458795 TAF458795 TKB458795 TTX458795 UDT458795 UNP458795 UXL458795 VHH458795 VRD458795 WAZ458795 WKV458795 WUR458795 ID458796 RZ458796 ABV458796 ALR458796 AVN458796 BFJ458796 BPF458796 BZB458796 CIX458796 CST458796 DCP458796 DML458796 DWH458796 EGD458796 EPZ458796 EZV458796 FJR458796 FTN458796 GDJ458796 GNF458796 GXB458796 HGX458796 HQT458796 IAP458796 IKL458796 IUH458796 JED458796 JNZ458796 JXV458796 KHR458796 KRN458796 LBJ458796 LLF458796 LVB458796 MEX458796 MOT458796 MYP458796 NIL458796 NSH458796 OCD458796 OLZ458796 OVV458796 PFR458796 PPN458796 PZJ458796 QJF458796 QTB458796 RCX458796 RMT458796 RWP458796 SGL458796 SQH458796 TAD458796 TJZ458796 TTV458796 UDR458796 UNN458796 UXJ458796 VHF458796 VRB458796 WAX458796 WKT458796 WUP458796 I524330:J524330 IC524330:ID524330 RY524330:RZ524330 ABU524330:ABV524330 ALQ524330:ALR524330 AVM524330:AVN524330 BFI524330:BFJ524330 BPE524330:BPF524330 BZA524330:BZB524330 CIW524330:CIX524330 CSS524330:CST524330 DCO524330:DCP524330 DMK524330:DML524330 DWG524330:DWH524330 EGC524330:EGD524330 EPY524330:EPZ524330 EZU524330:EZV524330 FJQ524330:FJR524330 FTM524330:FTN524330 GDI524330:GDJ524330 GNE524330:GNF524330 GXA524330:GXB524330 HGW524330:HGX524330 HQS524330:HQT524330 IAO524330:IAP524330 IKK524330:IKL524330 IUG524330:IUH524330 JEC524330:JED524330 JNY524330:JNZ524330 JXU524330:JXV524330 KHQ524330:KHR524330 KRM524330:KRN524330 LBI524330:LBJ524330 LLE524330:LLF524330 LVA524330:LVB524330 MEW524330:MEX524330 MOS524330:MOT524330 MYO524330:MYP524330 NIK524330:NIL524330 NSG524330:NSH524330 OCC524330:OCD524330 OLY524330:OLZ524330 OVU524330:OVV524330 PFQ524330:PFR524330 PPM524330:PPN524330 PZI524330:PZJ524330 QJE524330:QJF524330 QTA524330:QTB524330 RCW524330:RCX524330 RMS524330:RMT524330 RWO524330:RWP524330 SGK524330:SGL524330 SQG524330:SQH524330 TAC524330:TAD524330 TJY524330:TJZ524330 TTU524330:TTV524330 UDQ524330:UDR524330 UNM524330:UNN524330 UXI524330:UXJ524330 VHE524330:VHF524330 VRA524330:VRB524330 WAW524330:WAX524330 WKS524330:WKT524330 WUO524330:WUP524330 IF524331 SB524331 ABX524331 ALT524331 AVP524331 BFL524331 BPH524331 BZD524331 CIZ524331 CSV524331 DCR524331 DMN524331 DWJ524331 EGF524331 EQB524331 EZX524331 FJT524331 FTP524331 GDL524331 GNH524331 GXD524331 HGZ524331 HQV524331 IAR524331 IKN524331 IUJ524331 JEF524331 JOB524331 JXX524331 KHT524331 KRP524331 LBL524331 LLH524331 LVD524331 MEZ524331 MOV524331 MYR524331 NIN524331 NSJ524331 OCF524331 OMB524331 OVX524331 PFT524331 PPP524331 PZL524331 QJH524331 QTD524331 RCZ524331 RMV524331 RWR524331 SGN524331 SQJ524331 TAF524331 TKB524331 TTX524331 UDT524331 UNP524331 UXL524331 VHH524331 VRD524331 WAZ524331 WKV524331 WUR524331 ID524332 RZ524332 ABV524332 ALR524332 AVN524332 BFJ524332 BPF524332 BZB524332 CIX524332 CST524332 DCP524332 DML524332 DWH524332 EGD524332 EPZ524332 EZV524332 FJR524332 FTN524332 GDJ524332 GNF524332 GXB524332 HGX524332 HQT524332 IAP524332 IKL524332 IUH524332 JED524332 JNZ524332 JXV524332 KHR524332 KRN524332 LBJ524332 LLF524332 LVB524332 MEX524332 MOT524332 MYP524332 NIL524332 NSH524332 OCD524332 OLZ524332 OVV524332 PFR524332 PPN524332 PZJ524332 QJF524332 QTB524332 RCX524332 RMT524332 RWP524332 SGL524332 SQH524332 TAD524332 TJZ524332 TTV524332 UDR524332 UNN524332 UXJ524332 VHF524332 VRB524332 WAX524332 WKT524332 WUP524332 I589866:J589866 IC589866:ID589866 RY589866:RZ589866 ABU589866:ABV589866 ALQ589866:ALR589866 AVM589866:AVN589866 BFI589866:BFJ589866 BPE589866:BPF589866 BZA589866:BZB589866 CIW589866:CIX589866 CSS589866:CST589866 DCO589866:DCP589866 DMK589866:DML589866 DWG589866:DWH589866 EGC589866:EGD589866 EPY589866:EPZ589866 EZU589866:EZV589866 FJQ589866:FJR589866 FTM589866:FTN589866 GDI589866:GDJ589866 GNE589866:GNF589866 GXA589866:GXB589866 HGW589866:HGX589866 HQS589866:HQT589866 IAO589866:IAP589866 IKK589866:IKL589866 IUG589866:IUH589866 JEC589866:JED589866 JNY589866:JNZ589866 JXU589866:JXV589866 KHQ589866:KHR589866 KRM589866:KRN589866 LBI589866:LBJ589866 LLE589866:LLF589866 LVA589866:LVB589866 MEW589866:MEX589866 MOS589866:MOT589866 MYO589866:MYP589866 NIK589866:NIL589866 NSG589866:NSH589866 OCC589866:OCD589866 OLY589866:OLZ589866 OVU589866:OVV589866 PFQ589866:PFR589866 PPM589866:PPN589866 PZI589866:PZJ589866 QJE589866:QJF589866 QTA589866:QTB589866 RCW589866:RCX589866 RMS589866:RMT589866 RWO589866:RWP589866 SGK589866:SGL589866 SQG589866:SQH589866 TAC589866:TAD589866 TJY589866:TJZ589866 TTU589866:TTV589866 UDQ589866:UDR589866 UNM589866:UNN589866 UXI589866:UXJ589866 VHE589866:VHF589866 VRA589866:VRB589866 WAW589866:WAX589866 WKS589866:WKT589866 WUO589866:WUP589866 IF589867 SB589867 ABX589867 ALT589867 AVP589867 BFL589867 BPH589867 BZD589867 CIZ589867 CSV589867 DCR589867 DMN589867 DWJ589867 EGF589867 EQB589867 EZX589867 FJT589867 FTP589867 GDL589867 GNH589867 GXD589867 HGZ589867 HQV589867 IAR589867 IKN589867 IUJ589867 JEF589867 JOB589867 JXX589867 KHT589867 KRP589867 LBL589867 LLH589867 LVD589867 MEZ589867 MOV589867 MYR589867 NIN589867 NSJ589867 OCF589867 OMB589867 OVX589867 PFT589867 PPP589867 PZL589867 QJH589867 QTD589867 RCZ589867 RMV589867 RWR589867 SGN589867 SQJ589867 TAF589867 TKB589867 TTX589867 UDT589867 UNP589867 UXL589867 VHH589867 VRD589867 WAZ589867 WKV589867 WUR589867 ID589868 RZ589868 ABV589868 ALR589868 AVN589868 BFJ589868 BPF589868 BZB589868 CIX589868 CST589868 DCP589868 DML589868 DWH589868 EGD589868 EPZ589868 EZV589868 FJR589868 FTN589868 GDJ589868 GNF589868 GXB589868 HGX589868 HQT589868 IAP589868 IKL589868 IUH589868 JED589868 JNZ589868 JXV589868 KHR589868 KRN589868 LBJ589868 LLF589868 LVB589868 MEX589868 MOT589868 MYP589868 NIL589868 NSH589868 OCD589868 OLZ589868 OVV589868 PFR589868 PPN589868 PZJ589868 QJF589868 QTB589868 RCX589868 RMT589868 RWP589868 SGL589868 SQH589868 TAD589868 TJZ589868 TTV589868 UDR589868 UNN589868 UXJ589868 VHF589868 VRB589868 WAX589868 WKT589868 WUP589868 I655402:J655402 IC655402:ID655402 RY655402:RZ655402 ABU655402:ABV655402 ALQ655402:ALR655402 AVM655402:AVN655402 BFI655402:BFJ655402 BPE655402:BPF655402 BZA655402:BZB655402 CIW655402:CIX655402 CSS655402:CST655402 DCO655402:DCP655402 DMK655402:DML655402 DWG655402:DWH655402 EGC655402:EGD655402 EPY655402:EPZ655402 EZU655402:EZV655402 FJQ655402:FJR655402 FTM655402:FTN655402 GDI655402:GDJ655402 GNE655402:GNF655402 GXA655402:GXB655402 HGW655402:HGX655402 HQS655402:HQT655402 IAO655402:IAP655402 IKK655402:IKL655402 IUG655402:IUH655402 JEC655402:JED655402 JNY655402:JNZ655402 JXU655402:JXV655402 KHQ655402:KHR655402 KRM655402:KRN655402 LBI655402:LBJ655402 LLE655402:LLF655402 LVA655402:LVB655402 MEW655402:MEX655402 MOS655402:MOT655402 MYO655402:MYP655402 NIK655402:NIL655402 NSG655402:NSH655402 OCC655402:OCD655402 OLY655402:OLZ655402 OVU655402:OVV655402 PFQ655402:PFR655402 PPM655402:PPN655402 PZI655402:PZJ655402 QJE655402:QJF655402 QTA655402:QTB655402 RCW655402:RCX655402 RMS655402:RMT655402 RWO655402:RWP655402 SGK655402:SGL655402 SQG655402:SQH655402 TAC655402:TAD655402 TJY655402:TJZ655402 TTU655402:TTV655402 UDQ655402:UDR655402 UNM655402:UNN655402 UXI655402:UXJ655402 VHE655402:VHF655402 VRA655402:VRB655402 WAW655402:WAX655402 WKS655402:WKT655402 WUO655402:WUP655402 IF655403 SB655403 ABX655403 ALT655403 AVP655403 BFL655403 BPH655403 BZD655403 CIZ655403 CSV655403 DCR655403 DMN655403 DWJ655403 EGF655403 EQB655403 EZX655403 FJT655403 FTP655403 GDL655403 GNH655403 GXD655403 HGZ655403 HQV655403 IAR655403 IKN655403 IUJ655403 JEF655403 JOB655403 JXX655403 KHT655403 KRP655403 LBL655403 LLH655403 LVD655403 MEZ655403 MOV655403 MYR655403 NIN655403 NSJ655403 OCF655403 OMB655403 OVX655403 PFT655403 PPP655403 PZL655403 QJH655403 QTD655403 RCZ655403 RMV655403 RWR655403 SGN655403 SQJ655403 TAF655403 TKB655403 TTX655403 UDT655403 UNP655403 UXL655403 VHH655403 VRD655403 WAZ655403 WKV655403 WUR655403 ID655404 RZ655404 ABV655404 ALR655404 AVN655404 BFJ655404 BPF655404 BZB655404 CIX655404 CST655404 DCP655404 DML655404 DWH655404 EGD655404 EPZ655404 EZV655404 FJR655404 FTN655404 GDJ655404 GNF655404 GXB655404 HGX655404 HQT655404 IAP655404 IKL655404 IUH655404 JED655404 JNZ655404 JXV655404 KHR655404 KRN655404 LBJ655404 LLF655404 LVB655404 MEX655404 MOT655404 MYP655404 NIL655404 NSH655404 OCD655404 OLZ655404 OVV655404 PFR655404 PPN655404 PZJ655404 QJF655404 QTB655404 RCX655404 RMT655404 RWP655404 SGL655404 SQH655404 TAD655404 TJZ655404 TTV655404 UDR655404 UNN655404 UXJ655404 VHF655404 VRB655404 WAX655404 WKT655404 WUP655404 I720938:J720938 IC720938:ID720938 RY720938:RZ720938 ABU720938:ABV720938 ALQ720938:ALR720938 AVM720938:AVN720938 BFI720938:BFJ720938 BPE720938:BPF720938 BZA720938:BZB720938 CIW720938:CIX720938 CSS720938:CST720938 DCO720938:DCP720938 DMK720938:DML720938 DWG720938:DWH720938 EGC720938:EGD720938 EPY720938:EPZ720938 EZU720938:EZV720938 FJQ720938:FJR720938 FTM720938:FTN720938 GDI720938:GDJ720938 GNE720938:GNF720938 GXA720938:GXB720938 HGW720938:HGX720938 HQS720938:HQT720938 IAO720938:IAP720938 IKK720938:IKL720938 IUG720938:IUH720938 JEC720938:JED720938 JNY720938:JNZ720938 JXU720938:JXV720938 KHQ720938:KHR720938 KRM720938:KRN720938 LBI720938:LBJ720938 LLE720938:LLF720938 LVA720938:LVB720938 MEW720938:MEX720938 MOS720938:MOT720938 MYO720938:MYP720938 NIK720938:NIL720938 NSG720938:NSH720938 OCC720938:OCD720938 OLY720938:OLZ720938 OVU720938:OVV720938 PFQ720938:PFR720938 PPM720938:PPN720938 PZI720938:PZJ720938 QJE720938:QJF720938 QTA720938:QTB720938 RCW720938:RCX720938 RMS720938:RMT720938 RWO720938:RWP720938 SGK720938:SGL720938 SQG720938:SQH720938 TAC720938:TAD720938 TJY720938:TJZ720938 TTU720938:TTV720938 UDQ720938:UDR720938 UNM720938:UNN720938 UXI720938:UXJ720938 VHE720938:VHF720938 VRA720938:VRB720938 WAW720938:WAX720938 WKS720938:WKT720938 WUO720938:WUP720938 IF720939 SB720939 ABX720939 ALT720939 AVP720939 BFL720939 BPH720939 BZD720939 CIZ720939 CSV720939 DCR720939 DMN720939 DWJ720939 EGF720939 EQB720939 EZX720939 FJT720939 FTP720939 GDL720939 GNH720939 GXD720939 HGZ720939 HQV720939 IAR720939 IKN720939 IUJ720939 JEF720939 JOB720939 JXX720939 KHT720939 KRP720939 LBL720939 LLH720939 LVD720939 MEZ720939 MOV720939 MYR720939 NIN720939 NSJ720939 OCF720939 OMB720939 OVX720939 PFT720939 PPP720939 PZL720939 QJH720939 QTD720939 RCZ720939 RMV720939 RWR720939 SGN720939 SQJ720939 TAF720939 TKB720939 TTX720939 UDT720939 UNP720939 UXL720939 VHH720939 VRD720939 WAZ720939 WKV720939 WUR720939 ID720940 RZ720940 ABV720940 ALR720940 AVN720940 BFJ720940 BPF720940 BZB720940 CIX720940 CST720940 DCP720940 DML720940 DWH720940 EGD720940 EPZ720940 EZV720940 FJR720940 FTN720940 GDJ720940 GNF720940 GXB720940 HGX720940 HQT720940 IAP720940 IKL720940 IUH720940 JED720940 JNZ720940 JXV720940 KHR720940 KRN720940 LBJ720940 LLF720940 LVB720940 MEX720940 MOT720940 MYP720940 NIL720940 NSH720940 OCD720940 OLZ720940 OVV720940 PFR720940 PPN720940 PZJ720940 QJF720940 QTB720940 RCX720940 RMT720940 RWP720940 SGL720940 SQH720940 TAD720940 TJZ720940 TTV720940 UDR720940 UNN720940 UXJ720940 VHF720940 VRB720940 WAX720940 WKT720940 WUP720940 I786474:J786474 IC786474:ID786474 RY786474:RZ786474 ABU786474:ABV786474 ALQ786474:ALR786474 AVM786474:AVN786474 BFI786474:BFJ786474 BPE786474:BPF786474 BZA786474:BZB786474 CIW786474:CIX786474 CSS786474:CST786474 DCO786474:DCP786474 DMK786474:DML786474 DWG786474:DWH786474 EGC786474:EGD786474 EPY786474:EPZ786474 EZU786474:EZV786474 FJQ786474:FJR786474 FTM786474:FTN786474 GDI786474:GDJ786474 GNE786474:GNF786474 GXA786474:GXB786474 HGW786474:HGX786474 HQS786474:HQT786474 IAO786474:IAP786474 IKK786474:IKL786474 IUG786474:IUH786474 JEC786474:JED786474 JNY786474:JNZ786474 JXU786474:JXV786474 KHQ786474:KHR786474 KRM786474:KRN786474 LBI786474:LBJ786474 LLE786474:LLF786474 LVA786474:LVB786474 MEW786474:MEX786474 MOS786474:MOT786474 MYO786474:MYP786474 NIK786474:NIL786474 NSG786474:NSH786474 OCC786474:OCD786474 OLY786474:OLZ786474 OVU786474:OVV786474 PFQ786474:PFR786474 PPM786474:PPN786474 PZI786474:PZJ786474 QJE786474:QJF786474 QTA786474:QTB786474 RCW786474:RCX786474 RMS786474:RMT786474 RWO786474:RWP786474 SGK786474:SGL786474 SQG786474:SQH786474 TAC786474:TAD786474 TJY786474:TJZ786474 TTU786474:TTV786474 UDQ786474:UDR786474 UNM786474:UNN786474 UXI786474:UXJ786474 VHE786474:VHF786474 VRA786474:VRB786474 WAW786474:WAX786474 WKS786474:WKT786474 WUO786474:WUP786474 IF786475 SB786475 ABX786475 ALT786475 AVP786475 BFL786475 BPH786475 BZD786475 CIZ786475 CSV786475 DCR786475 DMN786475 DWJ786475 EGF786475 EQB786475 EZX786475 FJT786475 FTP786475 GDL786475 GNH786475 GXD786475 HGZ786475 HQV786475 IAR786475 IKN786475 IUJ786475 JEF786475 JOB786475 JXX786475 KHT786475 KRP786475 LBL786475 LLH786475 LVD786475 MEZ786475 MOV786475 MYR786475 NIN786475 NSJ786475 OCF786475 OMB786475 OVX786475 PFT786475 PPP786475 PZL786475 QJH786475 QTD786475 RCZ786475 RMV786475 RWR786475 SGN786475 SQJ786475 TAF786475 TKB786475 TTX786475 UDT786475 UNP786475 UXL786475 VHH786475 VRD786475 WAZ786475 WKV786475 WUR786475 ID786476 RZ786476 ABV786476 ALR786476 AVN786476 BFJ786476 BPF786476 BZB786476 CIX786476 CST786476 DCP786476 DML786476 DWH786476 EGD786476 EPZ786476 EZV786476 FJR786476 FTN786476 GDJ786476 GNF786476 GXB786476 HGX786476 HQT786476 IAP786476 IKL786476 IUH786476 JED786476 JNZ786476 JXV786476 KHR786476 KRN786476 LBJ786476 LLF786476 LVB786476 MEX786476 MOT786476 MYP786476 NIL786476 NSH786476 OCD786476 OLZ786476 OVV786476 PFR786476 PPN786476 PZJ786476 QJF786476 QTB786476 RCX786476 RMT786476 RWP786476 SGL786476 SQH786476 TAD786476 TJZ786476 TTV786476 UDR786476 UNN786476 UXJ786476 VHF786476 VRB786476 WAX786476 WKT786476 WUP786476 I852010:J852010 IC852010:ID852010 RY852010:RZ852010 ABU852010:ABV852010 ALQ852010:ALR852010 AVM852010:AVN852010 BFI852010:BFJ852010 BPE852010:BPF852010 BZA852010:BZB852010 CIW852010:CIX852010 CSS852010:CST852010 DCO852010:DCP852010 DMK852010:DML852010 DWG852010:DWH852010 EGC852010:EGD852010 EPY852010:EPZ852010 EZU852010:EZV852010 FJQ852010:FJR852010 FTM852010:FTN852010 GDI852010:GDJ852010 GNE852010:GNF852010 GXA852010:GXB852010 HGW852010:HGX852010 HQS852010:HQT852010 IAO852010:IAP852010 IKK852010:IKL852010 IUG852010:IUH852010 JEC852010:JED852010 JNY852010:JNZ852010 JXU852010:JXV852010 KHQ852010:KHR852010 KRM852010:KRN852010 LBI852010:LBJ852010 LLE852010:LLF852010 LVA852010:LVB852010 MEW852010:MEX852010 MOS852010:MOT852010 MYO852010:MYP852010 NIK852010:NIL852010 NSG852010:NSH852010 OCC852010:OCD852010 OLY852010:OLZ852010 OVU852010:OVV852010 PFQ852010:PFR852010 PPM852010:PPN852010 PZI852010:PZJ852010 QJE852010:QJF852010 QTA852010:QTB852010 RCW852010:RCX852010 RMS852010:RMT852010 RWO852010:RWP852010 SGK852010:SGL852010 SQG852010:SQH852010 TAC852010:TAD852010 TJY852010:TJZ852010 TTU852010:TTV852010 UDQ852010:UDR852010 UNM852010:UNN852010 UXI852010:UXJ852010 VHE852010:VHF852010 VRA852010:VRB852010 WAW852010:WAX852010 WKS852010:WKT852010 WUO852010:WUP852010 IF852011 SB852011 ABX852011 ALT852011 AVP852011 BFL852011 BPH852011 BZD852011 CIZ852011 CSV852011 DCR852011 DMN852011 DWJ852011 EGF852011 EQB852011 EZX852011 FJT852011 FTP852011 GDL852011 GNH852011 GXD852011 HGZ852011 HQV852011 IAR852011 IKN852011 IUJ852011 JEF852011 JOB852011 JXX852011 KHT852011 KRP852011 LBL852011 LLH852011 LVD852011 MEZ852011 MOV852011 MYR852011 NIN852011 NSJ852011 OCF852011 OMB852011 OVX852011 PFT852011 PPP852011 PZL852011 QJH852011 QTD852011 RCZ852011 RMV852011 RWR852011 SGN852011 SQJ852011 TAF852011 TKB852011 TTX852011 UDT852011 UNP852011 UXL852011 VHH852011 VRD852011 WAZ852011 WKV852011 WUR852011 ID852012 RZ852012 ABV852012 ALR852012 AVN852012 BFJ852012 BPF852012 BZB852012 CIX852012 CST852012 DCP852012 DML852012 DWH852012 EGD852012 EPZ852012 EZV852012 FJR852012 FTN852012 GDJ852012 GNF852012 GXB852012 HGX852012 HQT852012 IAP852012 IKL852012 IUH852012 JED852012 JNZ852012 JXV852012 KHR852012 KRN852012 LBJ852012 LLF852012 LVB852012 MEX852012 MOT852012 MYP852012 NIL852012 NSH852012 OCD852012 OLZ852012 OVV852012 PFR852012 PPN852012 PZJ852012 QJF852012 QTB852012 RCX852012 RMT852012 RWP852012 SGL852012 SQH852012 TAD852012 TJZ852012 TTV852012 UDR852012 UNN852012 UXJ852012 VHF852012 VRB852012 WAX852012 WKT852012 WUP852012 I917546:J917546 IC917546:ID917546 RY917546:RZ917546 ABU917546:ABV917546 ALQ917546:ALR917546 AVM917546:AVN917546 BFI917546:BFJ917546 BPE917546:BPF917546 BZA917546:BZB917546 CIW917546:CIX917546 CSS917546:CST917546 DCO917546:DCP917546 DMK917546:DML917546 DWG917546:DWH917546 EGC917546:EGD917546 EPY917546:EPZ917546 EZU917546:EZV917546 FJQ917546:FJR917546 FTM917546:FTN917546 GDI917546:GDJ917546 GNE917546:GNF917546 GXA917546:GXB917546 HGW917546:HGX917546 HQS917546:HQT917546 IAO917546:IAP917546 IKK917546:IKL917546 IUG917546:IUH917546 JEC917546:JED917546 JNY917546:JNZ917546 JXU917546:JXV917546 KHQ917546:KHR917546 KRM917546:KRN917546 LBI917546:LBJ917546 LLE917546:LLF917546 LVA917546:LVB917546 MEW917546:MEX917546 MOS917546:MOT917546 MYO917546:MYP917546 NIK917546:NIL917546 NSG917546:NSH917546 OCC917546:OCD917546 OLY917546:OLZ917546 OVU917546:OVV917546 PFQ917546:PFR917546 PPM917546:PPN917546 PZI917546:PZJ917546 QJE917546:QJF917546 QTA917546:QTB917546 RCW917546:RCX917546 RMS917546:RMT917546 RWO917546:RWP917546 SGK917546:SGL917546 SQG917546:SQH917546 TAC917546:TAD917546 TJY917546:TJZ917546 TTU917546:TTV917546 UDQ917546:UDR917546 UNM917546:UNN917546 UXI917546:UXJ917546 VHE917546:VHF917546 VRA917546:VRB917546 WAW917546:WAX917546 WKS917546:WKT917546 WUO917546:WUP917546 IF917547 SB917547 ABX917547 ALT917547 AVP917547 BFL917547 BPH917547 BZD917547 CIZ917547 CSV917547 DCR917547 DMN917547 DWJ917547 EGF917547 EQB917547 EZX917547 FJT917547 FTP917547 GDL917547 GNH917547 GXD917547 HGZ917547 HQV917547 IAR917547 IKN917547 IUJ917547 JEF917547 JOB917547 JXX917547 KHT917547 KRP917547 LBL917547 LLH917547 LVD917547 MEZ917547 MOV917547 MYR917547 NIN917547 NSJ917547 OCF917547 OMB917547 OVX917547 PFT917547 PPP917547 PZL917547 QJH917547 QTD917547 RCZ917547 RMV917547 RWR917547 SGN917547 SQJ917547 TAF917547 TKB917547 TTX917547 UDT917547 UNP917547 UXL917547 VHH917547 VRD917547 WAZ917547 WKV917547 WUR917547 ID917548 RZ917548 ABV917548 ALR917548 AVN917548 BFJ917548 BPF917548 BZB917548 CIX917548 CST917548 DCP917548 DML917548 DWH917548 EGD917548 EPZ917548 EZV917548 FJR917548 FTN917548 GDJ917548 GNF917548 GXB917548 HGX917548 HQT917548 IAP917548 IKL917548 IUH917548 JED917548 JNZ917548 JXV917548 KHR917548 KRN917548 LBJ917548 LLF917548 LVB917548 MEX917548 MOT917548 MYP917548 NIL917548 NSH917548 OCD917548 OLZ917548 OVV917548 PFR917548 PPN917548 PZJ917548 QJF917548 QTB917548 RCX917548 RMT917548 RWP917548 SGL917548 SQH917548 TAD917548 TJZ917548 TTV917548 UDR917548 UNN917548 UXJ917548 VHF917548 VRB917548 WAX917548 WKT917548 WUP917548 I983082:J983082 IC983082:ID983082 RY983082:RZ983082 ABU983082:ABV983082 ALQ983082:ALR983082 AVM983082:AVN983082 BFI983082:BFJ983082 BPE983082:BPF983082 BZA983082:BZB983082 CIW983082:CIX983082 CSS983082:CST983082 DCO983082:DCP983082 DMK983082:DML983082 DWG983082:DWH983082 EGC983082:EGD983082 EPY983082:EPZ983082 EZU983082:EZV983082 FJQ983082:FJR983082 FTM983082:FTN983082 GDI983082:GDJ983082 GNE983082:GNF983082 GXA983082:GXB983082 HGW983082:HGX983082 HQS983082:HQT983082 IAO983082:IAP983082 IKK983082:IKL983082 IUG983082:IUH983082 JEC983082:JED983082 JNY983082:JNZ983082 JXU983082:JXV983082 KHQ983082:KHR983082 KRM983082:KRN983082 LBI983082:LBJ983082 LLE983082:LLF983082 LVA983082:LVB983082 MEW983082:MEX983082 MOS983082:MOT983082 MYO983082:MYP983082 NIK983082:NIL983082 NSG983082:NSH983082 OCC983082:OCD983082 OLY983082:OLZ983082 OVU983082:OVV983082 PFQ983082:PFR983082 PPM983082:PPN983082 PZI983082:PZJ983082 QJE983082:QJF983082 QTA983082:QTB983082 RCW983082:RCX983082 RMS983082:RMT983082 RWO983082:RWP983082 SGK983082:SGL983082 SQG983082:SQH983082 TAC983082:TAD983082 TJY983082:TJZ983082 TTU983082:TTV983082 UDQ983082:UDR983082 UNM983082:UNN983082 UXI983082:UXJ983082 VHE983082:VHF983082 VRA983082:VRB983082 WAW983082:WAX983082 WKS983082:WKT983082 WUO983082:WUP983082 IF983083 SB983083 ABX983083 ALT983083 AVP983083 BFL983083 BPH983083 BZD983083 CIZ983083 CSV983083 DCR983083 DMN983083 DWJ983083 EGF983083 EQB983083 EZX983083 FJT983083 FTP983083 GDL983083 GNH983083 GXD983083 HGZ983083 HQV983083 IAR983083 IKN983083 IUJ983083 JEF983083 JOB983083 JXX983083 KHT983083 KRP983083 LBL983083 LLH983083 LVD983083 MEZ983083 MOV983083 MYR983083 NIN983083 NSJ983083 OCF983083 OMB983083 OVX983083 PFT983083 PPP983083 PZL983083 QJH983083 QTD983083 RCZ983083 RMV983083 RWR983083 SGN983083 SQJ983083 TAF983083 TKB983083 TTX983083 UDT983083 UNP983083 UXL983083 VHH983083 VRD983083 WAZ983083 WKV983083 WUR983083 ID983084 RZ983084 ABV983084 ALR983084 AVN983084 BFJ983084 BPF983084 BZB983084 CIX983084 CST983084 DCP983084 DML983084 DWH983084 EGD983084 EPZ983084 EZV983084 FJR983084 FTN983084 GDJ983084 GNF983084 GXB983084 HGX983084 HQT983084 IAP983084 IKL983084 IUH983084 JED983084 JNZ983084 JXV983084 KHR983084 KRN983084 LBJ983084 LLF983084 LVB983084 MEX983084 MOT983084 MYP983084 NIL983084 NSH983084 OCD983084 OLZ983084 OVV983084 PFR983084 PPN983084 PZJ983084 QJF983084 QTB983084 RCX983084 RMT983084 RWP983084 SGL983084 SQH983084 TAD983084 TJZ983084 TTV983084 UDR983084 UNN983084 UXJ983084 VHF983084 VRB983084 WAX983084 WKT983084 WUP983084"/>
  </dataValidations>
  <printOptions horizontalCentered="1"/>
  <pageMargins left="0" right="0.118110236220472" top="0.43307086614173201" bottom="0.511811023622047" header="0.31496062992126" footer="0.31496062992126"/>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B1" sqref="B1:H3"/>
    </sheetView>
  </sheetViews>
  <sheetFormatPr defaultColWidth="9.140625" defaultRowHeight="15"/>
  <cols>
    <col min="1" max="1" width="4.42578125" style="2" customWidth="1"/>
    <col min="2" max="2" width="16.85546875" style="2" customWidth="1"/>
    <col min="3" max="3" width="33.140625" style="2" customWidth="1"/>
    <col min="4" max="4" width="15.140625" style="2" hidden="1" customWidth="1"/>
    <col min="5" max="5" width="6.5703125" style="2" customWidth="1"/>
    <col min="6" max="7" width="9.140625" style="2" customWidth="1"/>
    <col min="8" max="8" width="10.140625" style="2" customWidth="1"/>
    <col min="9" max="9" width="10.85546875" style="2" customWidth="1"/>
    <col min="10" max="10" width="12.42578125" style="2" customWidth="1"/>
    <col min="11" max="16384" width="9.140625" style="2"/>
  </cols>
  <sheetData>
    <row r="1" spans="1:17" ht="15" customHeight="1">
      <c r="A1" s="3"/>
      <c r="B1" s="208"/>
      <c r="C1" s="208"/>
      <c r="D1" s="208"/>
      <c r="E1" s="208"/>
      <c r="F1" s="208"/>
      <c r="G1" s="208"/>
      <c r="H1" s="208"/>
      <c r="I1" s="202" t="s">
        <v>46</v>
      </c>
      <c r="J1" s="202"/>
    </row>
    <row r="2" spans="1:17" ht="10.5" customHeight="1">
      <c r="A2" s="3"/>
      <c r="B2" s="208"/>
      <c r="C2" s="208"/>
      <c r="D2" s="208"/>
      <c r="E2" s="208"/>
      <c r="F2" s="208"/>
      <c r="G2" s="208"/>
      <c r="H2" s="208"/>
      <c r="I2" s="203" t="s">
        <v>47</v>
      </c>
      <c r="J2" s="204"/>
    </row>
    <row r="3" spans="1:17" ht="13.5" customHeight="1">
      <c r="A3" s="3"/>
      <c r="B3" s="208"/>
      <c r="C3" s="208"/>
      <c r="D3" s="208"/>
      <c r="E3" s="208"/>
      <c r="F3" s="208"/>
      <c r="G3" s="208"/>
      <c r="H3" s="208"/>
    </row>
    <row r="4" spans="1:17" ht="9.75" customHeight="1">
      <c r="A4" s="209" t="s">
        <v>48</v>
      </c>
      <c r="B4" s="209"/>
      <c r="C4" s="209"/>
      <c r="D4" s="209"/>
      <c r="E4" s="209"/>
      <c r="F4" s="209"/>
      <c r="G4" s="209"/>
      <c r="H4" s="209"/>
      <c r="I4" s="209"/>
      <c r="J4" s="209"/>
    </row>
    <row r="5" spans="1:17" ht="12" customHeight="1">
      <c r="A5" s="209"/>
      <c r="B5" s="209"/>
      <c r="C5" s="209"/>
      <c r="D5" s="209"/>
      <c r="E5" s="209"/>
      <c r="F5" s="209"/>
      <c r="G5" s="209"/>
      <c r="H5" s="209"/>
      <c r="I5" s="209"/>
      <c r="J5" s="209"/>
    </row>
    <row r="6" spans="1:17" ht="15.75" customHeight="1">
      <c r="A6" s="205" t="s">
        <v>49</v>
      </c>
      <c r="B6" s="205"/>
      <c r="C6" s="205"/>
      <c r="D6" s="205"/>
      <c r="E6" s="205"/>
      <c r="F6" s="205"/>
      <c r="G6" s="205"/>
      <c r="H6" s="205"/>
      <c r="I6" s="205"/>
      <c r="J6" s="205"/>
    </row>
    <row r="7" spans="1:17" ht="11.25" customHeight="1">
      <c r="A7" s="206" t="s">
        <v>50</v>
      </c>
      <c r="B7" s="206"/>
      <c r="C7" s="206"/>
      <c r="D7" s="206"/>
      <c r="E7" s="206"/>
      <c r="F7" s="206"/>
      <c r="G7" s="206"/>
      <c r="H7" s="206"/>
      <c r="I7" s="206"/>
      <c r="J7" s="206"/>
    </row>
    <row r="8" spans="1:17" ht="15" customHeight="1">
      <c r="A8" s="207" t="s">
        <v>51</v>
      </c>
      <c r="B8" s="207"/>
      <c r="C8" s="207"/>
      <c r="D8" s="207"/>
      <c r="E8" s="207"/>
      <c r="F8" s="207"/>
      <c r="G8" s="207"/>
      <c r="H8" s="207"/>
      <c r="I8" s="207"/>
      <c r="J8" s="207"/>
    </row>
    <row r="9" spans="1:17" ht="29.25" hidden="1" customHeight="1">
      <c r="A9" s="3" t="s">
        <v>52</v>
      </c>
      <c r="B9" s="3"/>
      <c r="C9" s="3" t="s">
        <v>53</v>
      </c>
      <c r="D9" s="3"/>
      <c r="E9" s="3"/>
      <c r="F9" s="3"/>
      <c r="G9" s="3"/>
      <c r="H9" s="3"/>
      <c r="I9" s="3"/>
    </row>
    <row r="10" spans="1:17" ht="15.75" customHeight="1">
      <c r="A10" s="192" t="s">
        <v>54</v>
      </c>
      <c r="B10" s="192"/>
      <c r="C10" s="192"/>
      <c r="D10" s="3"/>
      <c r="E10" s="192" t="s">
        <v>55</v>
      </c>
      <c r="F10" s="192"/>
      <c r="G10" s="192"/>
      <c r="H10" s="192"/>
      <c r="I10" s="192"/>
      <c r="J10" s="192"/>
    </row>
    <row r="11" spans="1:17" s="1" customFormat="1" ht="18.75" customHeight="1">
      <c r="A11" s="198" t="s">
        <v>14</v>
      </c>
      <c r="B11" s="198" t="s">
        <v>56</v>
      </c>
      <c r="C11" s="200" t="s">
        <v>57</v>
      </c>
      <c r="D11" s="4" t="s">
        <v>58</v>
      </c>
      <c r="E11" s="198" t="s">
        <v>59</v>
      </c>
      <c r="F11" s="193" t="s">
        <v>60</v>
      </c>
      <c r="G11" s="194"/>
      <c r="H11" s="195"/>
      <c r="I11" s="200" t="s">
        <v>61</v>
      </c>
      <c r="J11" s="200" t="s">
        <v>62</v>
      </c>
      <c r="K11" s="2"/>
      <c r="L11" s="2"/>
      <c r="M11" s="2"/>
      <c r="N11" s="2"/>
      <c r="O11" s="2"/>
      <c r="P11" s="2"/>
      <c r="Q11" s="2"/>
    </row>
    <row r="12" spans="1:17" s="1" customFormat="1" ht="27" customHeight="1">
      <c r="A12" s="199"/>
      <c r="B12" s="199"/>
      <c r="C12" s="199"/>
      <c r="D12" s="4"/>
      <c r="E12" s="199"/>
      <c r="F12" s="11" t="s">
        <v>63</v>
      </c>
      <c r="G12" s="11" t="s">
        <v>64</v>
      </c>
      <c r="H12" s="11" t="s">
        <v>65</v>
      </c>
      <c r="I12" s="201"/>
      <c r="J12" s="201"/>
      <c r="K12" s="2"/>
      <c r="L12" s="2"/>
      <c r="M12" s="2"/>
      <c r="N12" s="2"/>
      <c r="O12" s="2"/>
      <c r="P12" s="2"/>
      <c r="Q12" s="2"/>
    </row>
    <row r="13" spans="1:17" ht="19.5" customHeight="1">
      <c r="A13" s="5">
        <v>1</v>
      </c>
      <c r="B13" s="6"/>
      <c r="C13" s="6"/>
      <c r="D13" s="6"/>
      <c r="E13" s="6"/>
      <c r="F13" s="5"/>
      <c r="G13" s="5"/>
      <c r="H13" s="5"/>
      <c r="I13" s="5"/>
      <c r="J13" s="6"/>
    </row>
    <row r="14" spans="1:17" ht="19.5" customHeight="1">
      <c r="A14" s="68" t="s">
        <v>66</v>
      </c>
      <c r="B14" s="6"/>
      <c r="C14" s="6"/>
      <c r="D14" s="6"/>
      <c r="E14" s="6"/>
      <c r="F14" s="5"/>
      <c r="G14" s="5"/>
      <c r="H14" s="5"/>
      <c r="I14" s="5"/>
      <c r="J14" s="6"/>
    </row>
    <row r="15" spans="1:17" ht="19.5" customHeight="1">
      <c r="A15" s="5">
        <v>3</v>
      </c>
      <c r="B15" s="6"/>
      <c r="C15" s="6"/>
      <c r="D15" s="6"/>
      <c r="E15" s="6"/>
      <c r="F15" s="5"/>
      <c r="G15" s="5"/>
      <c r="H15" s="5"/>
      <c r="I15" s="5"/>
      <c r="J15" s="6"/>
    </row>
    <row r="16" spans="1:17" ht="19.5" customHeight="1">
      <c r="A16" s="5">
        <v>4</v>
      </c>
      <c r="B16" s="6"/>
      <c r="C16" s="6"/>
      <c r="D16" s="6"/>
      <c r="E16" s="6"/>
      <c r="F16" s="5"/>
      <c r="G16" s="5"/>
      <c r="H16" s="5"/>
      <c r="I16" s="5"/>
      <c r="J16" s="6"/>
    </row>
    <row r="17" spans="1:17" ht="19.5" customHeight="1">
      <c r="A17" s="5">
        <v>5</v>
      </c>
      <c r="B17" s="6"/>
      <c r="C17" s="6"/>
      <c r="D17" s="6"/>
      <c r="E17" s="6"/>
      <c r="F17" s="5"/>
      <c r="G17" s="5"/>
      <c r="H17" s="5"/>
      <c r="I17" s="5"/>
      <c r="J17" s="6"/>
    </row>
    <row r="18" spans="1:17" ht="19.5" customHeight="1">
      <c r="A18" s="5">
        <v>6</v>
      </c>
      <c r="B18" s="6"/>
      <c r="C18" s="6"/>
      <c r="D18" s="6"/>
      <c r="E18" s="6"/>
      <c r="F18" s="5"/>
      <c r="G18" s="5"/>
      <c r="H18" s="5"/>
      <c r="I18" s="5"/>
      <c r="J18" s="6"/>
    </row>
    <row r="19" spans="1:17" ht="19.5" customHeight="1">
      <c r="A19" s="5">
        <v>7</v>
      </c>
      <c r="B19" s="6"/>
      <c r="C19" s="6"/>
      <c r="D19" s="6"/>
      <c r="E19" s="6"/>
      <c r="F19" s="5"/>
      <c r="G19" s="5"/>
      <c r="H19" s="5"/>
      <c r="I19" s="5"/>
      <c r="J19" s="6"/>
    </row>
    <row r="20" spans="1:17" ht="19.5" customHeight="1">
      <c r="A20" s="5">
        <v>8</v>
      </c>
      <c r="B20" s="6"/>
      <c r="C20" s="6"/>
      <c r="D20" s="6"/>
      <c r="E20" s="6"/>
      <c r="F20" s="5"/>
      <c r="G20" s="5"/>
      <c r="H20" s="5"/>
      <c r="I20" s="5"/>
      <c r="J20" s="6"/>
    </row>
    <row r="21" spans="1:17" ht="19.5" customHeight="1">
      <c r="A21" s="5">
        <v>9</v>
      </c>
      <c r="B21" s="6"/>
      <c r="C21" s="6"/>
      <c r="D21" s="6"/>
      <c r="E21" s="6"/>
      <c r="F21" s="5"/>
      <c r="G21" s="5"/>
      <c r="H21" s="5"/>
      <c r="I21" s="5"/>
      <c r="J21" s="6"/>
    </row>
    <row r="22" spans="1:17" ht="19.5" customHeight="1">
      <c r="A22" s="5">
        <v>10</v>
      </c>
      <c r="B22" s="6"/>
      <c r="C22" s="6"/>
      <c r="D22" s="6"/>
      <c r="E22" s="6"/>
      <c r="F22" s="5"/>
      <c r="G22" s="5"/>
      <c r="H22" s="5"/>
      <c r="I22" s="5"/>
      <c r="J22" s="6"/>
      <c r="K22" s="10"/>
      <c r="L22" s="10"/>
      <c r="M22" s="10"/>
      <c r="N22" s="10"/>
      <c r="O22" s="10"/>
      <c r="P22" s="10"/>
      <c r="Q22" s="10"/>
    </row>
    <row r="23" spans="1:17" ht="19.5" customHeight="1">
      <c r="A23" s="5">
        <v>11</v>
      </c>
      <c r="B23" s="6"/>
      <c r="C23" s="6"/>
      <c r="D23" s="6"/>
      <c r="E23" s="6"/>
      <c r="F23" s="5"/>
      <c r="G23" s="5"/>
      <c r="H23" s="5"/>
      <c r="I23" s="5"/>
      <c r="J23" s="6"/>
      <c r="K23" s="10"/>
      <c r="L23" s="10"/>
      <c r="M23" s="10"/>
      <c r="N23" s="10"/>
      <c r="O23" s="10"/>
      <c r="P23" s="10"/>
      <c r="Q23" s="10"/>
    </row>
    <row r="24" spans="1:17" ht="19.5" customHeight="1">
      <c r="A24" s="5">
        <v>12</v>
      </c>
      <c r="B24" s="6"/>
      <c r="C24" s="6"/>
      <c r="D24" s="6"/>
      <c r="E24" s="6"/>
      <c r="F24" s="5"/>
      <c r="G24" s="5"/>
      <c r="H24" s="5"/>
      <c r="I24" s="5"/>
      <c r="J24" s="6"/>
      <c r="K24" s="10"/>
      <c r="L24" s="10"/>
      <c r="M24" s="10"/>
      <c r="N24" s="10"/>
      <c r="O24" s="10"/>
      <c r="P24" s="10"/>
      <c r="Q24" s="10"/>
    </row>
    <row r="25" spans="1:17" ht="7.5" customHeight="1"/>
    <row r="26" spans="1:17">
      <c r="A26" s="196" t="s">
        <v>67</v>
      </c>
      <c r="B26" s="196"/>
      <c r="C26" s="8" t="s">
        <v>68</v>
      </c>
      <c r="D26" s="9"/>
      <c r="E26" s="197" t="s">
        <v>69</v>
      </c>
      <c r="F26" s="197"/>
      <c r="G26" s="8"/>
      <c r="H26" s="197" t="s">
        <v>70</v>
      </c>
      <c r="I26" s="197"/>
      <c r="J26" s="197"/>
    </row>
    <row r="27" spans="1:17">
      <c r="A27" s="9"/>
      <c r="B27" s="9"/>
      <c r="C27" s="9"/>
      <c r="D27" s="9"/>
      <c r="E27" s="9"/>
      <c r="F27" s="9"/>
      <c r="G27" s="9"/>
      <c r="H27" s="9"/>
      <c r="I27" s="9"/>
      <c r="J27" s="9"/>
    </row>
    <row r="28" spans="1:17" ht="53.25" customHeight="1">
      <c r="A28" s="9"/>
      <c r="B28" s="9"/>
      <c r="C28" s="9"/>
      <c r="D28" s="9"/>
      <c r="E28" s="9"/>
      <c r="F28" s="9"/>
      <c r="G28" s="9"/>
      <c r="H28" s="9"/>
      <c r="I28" s="9"/>
      <c r="J28" s="9"/>
    </row>
    <row r="30" spans="1:17" ht="18" customHeight="1"/>
    <row r="31" spans="1:17" ht="18" customHeight="1"/>
    <row r="32" spans="1:17" ht="18" customHeight="1"/>
  </sheetData>
  <mergeCells count="19">
    <mergeCell ref="I1:J1"/>
    <mergeCell ref="I2:J2"/>
    <mergeCell ref="A6:J6"/>
    <mergeCell ref="A7:J7"/>
    <mergeCell ref="A8:J8"/>
    <mergeCell ref="B1:H3"/>
    <mergeCell ref="A4:J5"/>
    <mergeCell ref="A10:C10"/>
    <mergeCell ref="E10:J10"/>
    <mergeCell ref="F11:H11"/>
    <mergeCell ref="A26:B26"/>
    <mergeCell ref="E26:F26"/>
    <mergeCell ref="H26:J26"/>
    <mergeCell ref="A11:A12"/>
    <mergeCell ref="B11:B12"/>
    <mergeCell ref="C11:C12"/>
    <mergeCell ref="E11:E12"/>
    <mergeCell ref="I11:I12"/>
    <mergeCell ref="J11:J12"/>
  </mergeCells>
  <printOptions horizontalCentered="1"/>
  <pageMargins left="0" right="0" top="0.5" bottom="0.31" header="0.3" footer="0.3"/>
  <pageSetup paperSize="11" scale="85"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32"/>
  <sheetViews>
    <sheetView workbookViewId="0">
      <selection activeCell="B1" sqref="B1:G3"/>
    </sheetView>
  </sheetViews>
  <sheetFormatPr defaultColWidth="9.140625" defaultRowHeight="15"/>
  <cols>
    <col min="1" max="1" width="4.42578125" style="2" customWidth="1"/>
    <col min="2" max="3" width="16.85546875" style="2" customWidth="1"/>
    <col min="4" max="4" width="33.140625" style="2" customWidth="1"/>
    <col min="5" max="5" width="15.140625" style="2" hidden="1" customWidth="1"/>
    <col min="6" max="6" width="6.5703125" style="2" customWidth="1"/>
    <col min="7" max="7" width="13.42578125" style="2" customWidth="1"/>
    <col min="8" max="8" width="13" style="2" customWidth="1"/>
    <col min="9" max="9" width="12.42578125" style="2" customWidth="1"/>
    <col min="10" max="16384" width="9.140625" style="2"/>
  </cols>
  <sheetData>
    <row r="1" spans="1:16" ht="15" customHeight="1">
      <c r="A1" s="3"/>
      <c r="B1" s="208"/>
      <c r="C1" s="208"/>
      <c r="D1" s="208"/>
      <c r="E1" s="208"/>
      <c r="F1" s="208"/>
      <c r="G1" s="208"/>
      <c r="H1" s="202" t="s">
        <v>46</v>
      </c>
      <c r="I1" s="202"/>
    </row>
    <row r="2" spans="1:16" ht="10.5" customHeight="1">
      <c r="A2" s="3"/>
      <c r="B2" s="208"/>
      <c r="C2" s="208"/>
      <c r="D2" s="208"/>
      <c r="E2" s="208"/>
      <c r="F2" s="208"/>
      <c r="G2" s="208"/>
      <c r="H2" s="203" t="s">
        <v>47</v>
      </c>
      <c r="I2" s="204"/>
    </row>
    <row r="3" spans="1:16" ht="13.5" customHeight="1">
      <c r="A3" s="3"/>
      <c r="B3" s="208"/>
      <c r="C3" s="208"/>
      <c r="D3" s="208"/>
      <c r="E3" s="208"/>
      <c r="F3" s="208"/>
      <c r="G3" s="208"/>
    </row>
    <row r="4" spans="1:16" ht="9.75" customHeight="1">
      <c r="A4" s="209" t="s">
        <v>71</v>
      </c>
      <c r="B4" s="209"/>
      <c r="C4" s="209"/>
      <c r="D4" s="209"/>
      <c r="E4" s="209"/>
      <c r="F4" s="209"/>
      <c r="G4" s="209"/>
      <c r="H4" s="209"/>
      <c r="I4" s="209"/>
    </row>
    <row r="5" spans="1:16" ht="12" customHeight="1">
      <c r="A5" s="209"/>
      <c r="B5" s="209"/>
      <c r="C5" s="209"/>
      <c r="D5" s="209"/>
      <c r="E5" s="209"/>
      <c r="F5" s="209"/>
      <c r="G5" s="209"/>
      <c r="H5" s="209"/>
      <c r="I5" s="209"/>
    </row>
    <row r="6" spans="1:16" ht="15.75" customHeight="1">
      <c r="A6" s="205" t="s">
        <v>49</v>
      </c>
      <c r="B6" s="205"/>
      <c r="C6" s="205"/>
      <c r="D6" s="205"/>
      <c r="E6" s="205"/>
      <c r="F6" s="205"/>
      <c r="G6" s="205"/>
      <c r="H6" s="205"/>
      <c r="I6" s="205"/>
    </row>
    <row r="7" spans="1:16" ht="11.25" customHeight="1">
      <c r="A7" s="206" t="s">
        <v>50</v>
      </c>
      <c r="B7" s="206"/>
      <c r="C7" s="206"/>
      <c r="D7" s="206"/>
      <c r="E7" s="206"/>
      <c r="F7" s="206"/>
      <c r="G7" s="206"/>
      <c r="H7" s="206"/>
      <c r="I7" s="206"/>
    </row>
    <row r="8" spans="1:16" ht="15" customHeight="1">
      <c r="A8" s="207" t="s">
        <v>51</v>
      </c>
      <c r="B8" s="207"/>
      <c r="C8" s="207"/>
      <c r="D8" s="207"/>
      <c r="E8" s="207"/>
      <c r="F8" s="207"/>
      <c r="G8" s="207"/>
      <c r="H8" s="207"/>
      <c r="I8" s="207"/>
    </row>
    <row r="9" spans="1:16" ht="29.25" hidden="1" customHeight="1">
      <c r="A9" s="3" t="s">
        <v>52</v>
      </c>
      <c r="B9" s="3"/>
      <c r="C9" s="3"/>
      <c r="D9" s="3" t="s">
        <v>53</v>
      </c>
      <c r="E9" s="3"/>
      <c r="F9" s="3"/>
      <c r="G9" s="3"/>
      <c r="H9" s="3"/>
    </row>
    <row r="10" spans="1:16" ht="15.75" customHeight="1">
      <c r="A10" s="192" t="s">
        <v>54</v>
      </c>
      <c r="B10" s="192"/>
      <c r="C10" s="192"/>
      <c r="D10" s="192"/>
      <c r="E10" s="3"/>
      <c r="F10" s="192" t="s">
        <v>55</v>
      </c>
      <c r="G10" s="192"/>
      <c r="H10" s="192"/>
      <c r="I10" s="192"/>
    </row>
    <row r="11" spans="1:16" s="1" customFormat="1" ht="18.75" customHeight="1">
      <c r="A11" s="198" t="s">
        <v>14</v>
      </c>
      <c r="B11" s="198" t="s">
        <v>72</v>
      </c>
      <c r="C11" s="198" t="s">
        <v>73</v>
      </c>
      <c r="D11" s="200" t="s">
        <v>57</v>
      </c>
      <c r="E11" s="4" t="s">
        <v>58</v>
      </c>
      <c r="F11" s="198" t="s">
        <v>59</v>
      </c>
      <c r="G11" s="200" t="s">
        <v>60</v>
      </c>
      <c r="H11" s="200" t="s">
        <v>61</v>
      </c>
      <c r="I11" s="200" t="s">
        <v>62</v>
      </c>
      <c r="J11" s="2"/>
      <c r="K11" s="2"/>
      <c r="L11" s="2"/>
      <c r="M11" s="2"/>
      <c r="N11" s="2"/>
      <c r="O11" s="2"/>
      <c r="P11" s="2"/>
    </row>
    <row r="12" spans="1:16" s="1" customFormat="1" ht="27" customHeight="1">
      <c r="A12" s="199"/>
      <c r="B12" s="199"/>
      <c r="C12" s="199"/>
      <c r="D12" s="199"/>
      <c r="E12" s="4"/>
      <c r="F12" s="199"/>
      <c r="G12" s="201"/>
      <c r="H12" s="201"/>
      <c r="I12" s="201"/>
      <c r="J12" s="2"/>
      <c r="K12" s="2"/>
      <c r="L12" s="2"/>
      <c r="M12" s="2"/>
      <c r="N12" s="2"/>
      <c r="O12" s="2"/>
      <c r="P12" s="2"/>
    </row>
    <row r="13" spans="1:16" ht="19.5" customHeight="1">
      <c r="A13" s="5">
        <v>1</v>
      </c>
      <c r="B13" s="6"/>
      <c r="C13" s="6"/>
      <c r="D13" s="6"/>
      <c r="E13" s="6"/>
      <c r="F13" s="6"/>
      <c r="G13" s="5"/>
      <c r="H13" s="5"/>
      <c r="I13" s="6"/>
    </row>
    <row r="14" spans="1:16" ht="19.5" customHeight="1">
      <c r="A14" s="68" t="s">
        <v>66</v>
      </c>
      <c r="B14" s="6"/>
      <c r="C14" s="6"/>
      <c r="D14" s="6"/>
      <c r="E14" s="6"/>
      <c r="F14" s="6"/>
      <c r="G14" s="5"/>
      <c r="H14" s="5"/>
      <c r="I14" s="6"/>
    </row>
    <row r="15" spans="1:16" ht="19.5" customHeight="1">
      <c r="A15" s="5">
        <v>3</v>
      </c>
      <c r="B15" s="6"/>
      <c r="C15" s="6"/>
      <c r="D15" s="6"/>
      <c r="E15" s="6"/>
      <c r="F15" s="6"/>
      <c r="G15" s="5"/>
      <c r="H15" s="5"/>
      <c r="I15" s="6"/>
    </row>
    <row r="16" spans="1:16" ht="19.5" customHeight="1">
      <c r="A16" s="5">
        <v>4</v>
      </c>
      <c r="B16" s="6"/>
      <c r="C16" s="6"/>
      <c r="D16" s="6"/>
      <c r="E16" s="6"/>
      <c r="F16" s="6"/>
      <c r="G16" s="5"/>
      <c r="H16" s="5"/>
      <c r="I16" s="6"/>
    </row>
    <row r="17" spans="1:16" ht="19.5" customHeight="1">
      <c r="A17" s="5">
        <v>5</v>
      </c>
      <c r="B17" s="6"/>
      <c r="C17" s="6"/>
      <c r="D17" s="6"/>
      <c r="E17" s="6"/>
      <c r="F17" s="6"/>
      <c r="G17" s="5"/>
      <c r="H17" s="5"/>
      <c r="I17" s="6"/>
    </row>
    <row r="18" spans="1:16" ht="19.5" customHeight="1">
      <c r="A18" s="5">
        <v>6</v>
      </c>
      <c r="B18" s="6"/>
      <c r="C18" s="6"/>
      <c r="D18" s="6"/>
      <c r="E18" s="6"/>
      <c r="F18" s="6"/>
      <c r="G18" s="5"/>
      <c r="H18" s="5"/>
      <c r="I18" s="6"/>
    </row>
    <row r="19" spans="1:16" ht="19.5" customHeight="1">
      <c r="A19" s="5">
        <v>7</v>
      </c>
      <c r="B19" s="6"/>
      <c r="C19" s="6"/>
      <c r="D19" s="6"/>
      <c r="E19" s="6"/>
      <c r="F19" s="6"/>
      <c r="G19" s="5"/>
      <c r="H19" s="5"/>
      <c r="I19" s="6"/>
    </row>
    <row r="20" spans="1:16" ht="19.5" customHeight="1">
      <c r="A20" s="5">
        <v>8</v>
      </c>
      <c r="B20" s="6"/>
      <c r="C20" s="6"/>
      <c r="D20" s="6"/>
      <c r="E20" s="6"/>
      <c r="F20" s="6"/>
      <c r="G20" s="5"/>
      <c r="H20" s="5"/>
      <c r="I20" s="6"/>
    </row>
    <row r="21" spans="1:16" ht="19.5" customHeight="1">
      <c r="A21" s="5">
        <v>9</v>
      </c>
      <c r="B21" s="6"/>
      <c r="C21" s="6"/>
      <c r="D21" s="6"/>
      <c r="E21" s="6"/>
      <c r="F21" s="6"/>
      <c r="G21" s="5"/>
      <c r="H21" s="5"/>
      <c r="I21" s="6"/>
    </row>
    <row r="22" spans="1:16" ht="19.5" customHeight="1">
      <c r="A22" s="5">
        <v>10</v>
      </c>
      <c r="B22" s="6"/>
      <c r="C22" s="6"/>
      <c r="D22" s="6"/>
      <c r="E22" s="6"/>
      <c r="F22" s="6"/>
      <c r="G22" s="5"/>
      <c r="H22" s="5"/>
      <c r="I22" s="6"/>
      <c r="J22" s="10"/>
      <c r="K22" s="10"/>
      <c r="L22" s="10"/>
      <c r="M22" s="10"/>
      <c r="N22" s="10"/>
      <c r="O22" s="10"/>
      <c r="P22" s="10"/>
    </row>
    <row r="23" spans="1:16" ht="19.5" customHeight="1">
      <c r="A23" s="5">
        <v>11</v>
      </c>
      <c r="B23" s="6"/>
      <c r="C23" s="6"/>
      <c r="D23" s="6"/>
      <c r="E23" s="6"/>
      <c r="F23" s="6"/>
      <c r="G23" s="5"/>
      <c r="H23" s="5"/>
      <c r="I23" s="6"/>
      <c r="J23" s="10"/>
      <c r="K23" s="10"/>
      <c r="L23" s="10"/>
      <c r="M23" s="10"/>
      <c r="N23" s="10"/>
      <c r="O23" s="10"/>
      <c r="P23" s="10"/>
    </row>
    <row r="24" spans="1:16" ht="19.5" customHeight="1">
      <c r="A24" s="5">
        <v>12</v>
      </c>
      <c r="B24" s="6"/>
      <c r="C24" s="6"/>
      <c r="D24" s="6"/>
      <c r="E24" s="6"/>
      <c r="F24" s="6"/>
      <c r="G24" s="5"/>
      <c r="H24" s="5"/>
      <c r="I24" s="6"/>
      <c r="J24" s="10"/>
      <c r="K24" s="10"/>
      <c r="L24" s="10"/>
      <c r="M24" s="10"/>
      <c r="N24" s="10"/>
      <c r="O24" s="10"/>
      <c r="P24" s="10"/>
    </row>
    <row r="25" spans="1:16" ht="7.5" customHeight="1"/>
    <row r="26" spans="1:16">
      <c r="A26" s="196" t="s">
        <v>67</v>
      </c>
      <c r="B26" s="196"/>
      <c r="C26" s="7"/>
      <c r="D26" s="8" t="s">
        <v>68</v>
      </c>
      <c r="E26" s="9"/>
      <c r="F26" s="197" t="s">
        <v>69</v>
      </c>
      <c r="G26" s="197"/>
      <c r="H26" s="197"/>
      <c r="I26" s="197"/>
    </row>
    <row r="27" spans="1:16">
      <c r="A27" s="9"/>
      <c r="B27" s="9"/>
      <c r="C27" s="9"/>
      <c r="D27" s="9"/>
      <c r="E27" s="9"/>
      <c r="F27" s="9"/>
      <c r="G27" s="9"/>
      <c r="H27" s="9"/>
      <c r="I27" s="9"/>
    </row>
    <row r="28" spans="1:16" ht="53.25" customHeight="1">
      <c r="A28" s="9"/>
      <c r="B28" s="9"/>
      <c r="C28" s="9"/>
      <c r="D28" s="9"/>
      <c r="E28" s="9"/>
      <c r="F28" s="9"/>
      <c r="G28" s="9"/>
      <c r="H28" s="9"/>
      <c r="I28" s="9"/>
    </row>
    <row r="30" spans="1:16" ht="18" customHeight="1"/>
    <row r="31" spans="1:16" ht="18" customHeight="1"/>
    <row r="32" spans="1:16" ht="18" customHeight="1"/>
  </sheetData>
  <mergeCells count="20">
    <mergeCell ref="H1:I1"/>
    <mergeCell ref="H2:I2"/>
    <mergeCell ref="A6:I6"/>
    <mergeCell ref="A7:I7"/>
    <mergeCell ref="A8:I8"/>
    <mergeCell ref="B1:G3"/>
    <mergeCell ref="A4:I5"/>
    <mergeCell ref="A10:D10"/>
    <mergeCell ref="F10:I10"/>
    <mergeCell ref="A26:B26"/>
    <mergeCell ref="F26:G26"/>
    <mergeCell ref="H26:I26"/>
    <mergeCell ref="A11:A12"/>
    <mergeCell ref="B11:B12"/>
    <mergeCell ref="C11:C12"/>
    <mergeCell ref="D11:D12"/>
    <mergeCell ref="F11:F12"/>
    <mergeCell ref="G11:G12"/>
    <mergeCell ref="H11:H12"/>
    <mergeCell ref="I11:I12"/>
  </mergeCells>
  <printOptions horizontalCentered="1"/>
  <pageMargins left="0" right="0" top="0.5" bottom="0.31" header="0.3" footer="0.3"/>
  <pageSetup paperSize="11" scale="85"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fd80025-6475-4237-a7c6-e7c9a98c6820" xsi:nil="true"/>
    <lcf76f155ced4ddcb4097134ff3c332f xmlns="83f55c39-acef-4460-a735-3f4b57f232e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AD6CF4703E1424FA7FF622E3867A041" ma:contentTypeVersion="17" ma:contentTypeDescription="Create a new document." ma:contentTypeScope="" ma:versionID="a1a19a3c86b233fbb1637088f407de6a">
  <xsd:schema xmlns:xsd="http://www.w3.org/2001/XMLSchema" xmlns:xs="http://www.w3.org/2001/XMLSchema" xmlns:p="http://schemas.microsoft.com/office/2006/metadata/properties" xmlns:ns2="83f55c39-acef-4460-a735-3f4b57f232ed" xmlns:ns3="cfd80025-6475-4237-a7c6-e7c9a98c6820" targetNamespace="http://schemas.microsoft.com/office/2006/metadata/properties" ma:root="true" ma:fieldsID="8d2cf3cdd11dbdae62871160d013d4ed" ns2:_="" ns3:_="">
    <xsd:import namespace="83f55c39-acef-4460-a735-3f4b57f232ed"/>
    <xsd:import namespace="cfd80025-6475-4237-a7c6-e7c9a98c682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LengthInSecond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f55c39-acef-4460-a735-3f4b57f232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8a9c49b-86db-436f-a22f-4238268e2cf4"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d80025-6475-4237-a7c6-e7c9a98c682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7c876ba-79c2-4d30-abb5-79655f061076}" ma:internalName="TaxCatchAll" ma:showField="CatchAllData" ma:web="cfd80025-6475-4237-a7c6-e7c9a98c68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50AD62-02A6-47CE-B69C-E20B907B8464}">
  <ds:schemaRefs/>
</ds:datastoreItem>
</file>

<file path=customXml/itemProps2.xml><?xml version="1.0" encoding="utf-8"?>
<ds:datastoreItem xmlns:ds="http://schemas.openxmlformats.org/officeDocument/2006/customXml" ds:itemID="{E65CB5CD-8302-4801-B7F2-0700DC288EA5}"/>
</file>

<file path=customXml/itemProps3.xml><?xml version="1.0" encoding="utf-8"?>
<ds:datastoreItem xmlns:ds="http://schemas.openxmlformats.org/officeDocument/2006/customXml" ds:itemID="{14C46927-BBCD-48C6-B9E0-6255011D1D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ĐỀ NGHỊ VẬT TƯ </vt:lpstr>
      <vt:lpstr>Phiếu nhập kho thành phẩm</vt:lpstr>
      <vt:lpstr>Phiếu nhập kho nhựa xay</vt:lpstr>
      <vt:lpstr>'ĐỀ NGHỊ VẬT TƯ '!Print_Area</vt:lpstr>
      <vt:lpstr>'ĐỀ NGHỊ VẬT TƯ '!Print_Titles</vt:lpstr>
    </vt:vector>
  </TitlesOfParts>
  <Company>minhtuan6990@gmail.com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Thị Thúy Hằng</dc:creator>
  <cp:lastModifiedBy>Administrator</cp:lastModifiedBy>
  <cp:lastPrinted>2025-09-17T02:52:02Z</cp:lastPrinted>
  <dcterms:created xsi:type="dcterms:W3CDTF">2021-03-06T01:30:00Z</dcterms:created>
  <dcterms:modified xsi:type="dcterms:W3CDTF">2025-12-16T07:24:46Z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0x010100AAD6CF4703E1424FA7FF622E3867A041</vt:lpwstr>
  </property>
  <property fmtid="{D5CDD505-2E9C-101B-9397-08002B2CF9AE}" pid="3" name="ICV">
    <vt:lpwstr>DB417C8EB1E641C889A629F636B406A6_12</vt:lpwstr>
  </property>
  <property fmtid="{D5CDD505-2E9C-101B-9397-08002B2CF9AE}" pid="4" name="KSOProductBuildVer">
    <vt:lpwstr>1033-12.2.0.21931</vt:lpwstr>
  </property>
</Properties>
</file>