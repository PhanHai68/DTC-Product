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ACOMP\VẬT_TƯ_LẮP_ĐẶT_MNK\"/>
    </mc:Choice>
  </mc:AlternateContent>
  <bookViews>
    <workbookView xWindow="-120" yWindow="-120" windowWidth="29040" windowHeight="15840"/>
  </bookViews>
  <sheets>
    <sheet name="ĐỀ NGHỊ VẬT TƯ " sheetId="25" r:id="rId1"/>
    <sheet name="Phiếu nhập kho thành phẩm" sheetId="17" state="hidden" r:id="rId2"/>
    <sheet name="Phiếu nhập kho nhựa xay" sheetId="19" state="hidden" r:id="rId3"/>
  </sheets>
  <externalReferences>
    <externalReference r:id="rId4"/>
  </externalReferences>
  <definedNames>
    <definedName name="__DDG589" localSheetId="0">#REF!</definedName>
    <definedName name="__DDG589">#REF!</definedName>
    <definedName name="__KLL866" localSheetId="0">#REF!</definedName>
    <definedName name="__KLL866">#REF!</definedName>
    <definedName name="_DDG589" localSheetId="0">#REF!</definedName>
    <definedName name="_xlnm._FilterDatabase" localSheetId="0" hidden="1">'ĐỀ NGHỊ VẬT TƯ '!#REF!</definedName>
    <definedName name="_KLL866" localSheetId="0">#REF!</definedName>
    <definedName name="_nc304" localSheetId="0">#REF!</definedName>
    <definedName name="_nc304">#REF!</definedName>
    <definedName name="_vt304" localSheetId="0">#REF!</definedName>
    <definedName name="_vt304">#REF!</definedName>
    <definedName name="_vta515" localSheetId="0">#REF!</definedName>
    <definedName name="_vta515">#REF!</definedName>
    <definedName name="a" localSheetId="0">#REF!</definedName>
    <definedName name="a">#REF!</definedName>
    <definedName name="bacdanucfc60" localSheetId="0">#REF!</definedName>
    <definedName name="bacdanucfc60">#REF!</definedName>
    <definedName name="bacdanucfc70" localSheetId="0">#REF!</definedName>
    <definedName name="bacdanucfc70">#REF!</definedName>
    <definedName name="bacdanucfc80" localSheetId="0">#REF!</definedName>
    <definedName name="bacdanucfc80">#REF!</definedName>
    <definedName name="bankinh" localSheetId="0">#REF!</definedName>
    <definedName name="bankinh">#REF!</definedName>
    <definedName name="bichcs" localSheetId="0">#REF!</definedName>
    <definedName name="bichcs">#REF!</definedName>
    <definedName name="bichinox" localSheetId="0">#REF!</definedName>
    <definedName name="bichinox">#REF!</definedName>
    <definedName name="binhkhinen" localSheetId="0">#REF!</definedName>
    <definedName name="binhkhinen">#REF!</definedName>
    <definedName name="chieudai" localSheetId="0">#REF!</definedName>
    <definedName name="chieudai">#REF!</definedName>
    <definedName name="chuvi" localSheetId="0">#REF!</definedName>
    <definedName name="chuvi">#REF!</definedName>
    <definedName name="cs" localSheetId="0">#REF!</definedName>
    <definedName name="cs">#REF!</definedName>
    <definedName name="d">'[1]he so gia'!$D$20</definedName>
    <definedName name="den100w" localSheetId="0">#REF!</definedName>
    <definedName name="den100w">#REF!</definedName>
    <definedName name="dff" localSheetId="0">#REF!</definedName>
    <definedName name="dff">#REF!</definedName>
    <definedName name="DGHJ" localSheetId="0">#REF!</definedName>
    <definedName name="DGHJ">#REF!</definedName>
    <definedName name="DHOIO" localSheetId="0">#REF!</definedName>
    <definedName name="DHOIO">#REF!</definedName>
    <definedName name="djbkfjhnr" localSheetId="0">#REF!</definedName>
    <definedName name="djbkfjhnr">#REF!</definedName>
    <definedName name="djkll9" localSheetId="0">#REF!</definedName>
    <definedName name="djkll9">#REF!</definedName>
    <definedName name="DRR" localSheetId="0">#REF!</definedName>
    <definedName name="DRR">#REF!</definedName>
    <definedName name="ewfgtreage">'[1]he so gia'!$D$3</definedName>
    <definedName name="f6yt" localSheetId="0">#REF!</definedName>
    <definedName name="f6yt">#REF!</definedName>
    <definedName name="gcongbichdn100inox" localSheetId="0">#REF!</definedName>
    <definedName name="gcongbichdn100inox">#REF!</definedName>
    <definedName name="gcongbichdn125inox" localSheetId="0">#REF!</definedName>
    <definedName name="gcongbichdn125inox">#REF!</definedName>
    <definedName name="gcongbichdn150inox" localSheetId="0">#REF!</definedName>
    <definedName name="gcongbichdn150inox">#REF!</definedName>
    <definedName name="gcongbichdn15inox" localSheetId="0">#REF!</definedName>
    <definedName name="gcongbichdn15inox">#REF!</definedName>
    <definedName name="gcongbichdn200inox" localSheetId="0">#REF!</definedName>
    <definedName name="gcongbichdn200inox">#REF!</definedName>
    <definedName name="gcongbichdn25" localSheetId="0">#REF!</definedName>
    <definedName name="gcongbichdn25">#REF!</definedName>
    <definedName name="gcongbichdn25inox" localSheetId="0">#REF!</definedName>
    <definedName name="gcongbichdn25inox">#REF!</definedName>
    <definedName name="gcongbichdn300inox" localSheetId="0">#REF!</definedName>
    <definedName name="gcongbichdn300inox">#REF!</definedName>
    <definedName name="gcongbichdn40inox" localSheetId="0">#REF!</definedName>
    <definedName name="gcongbichdn40inox">#REF!</definedName>
    <definedName name="gcongbichdn50inox" localSheetId="0">#REF!</definedName>
    <definedName name="gcongbichdn50inox">#REF!</definedName>
    <definedName name="gcongbichdn50ss400" localSheetId="0">#REF!</definedName>
    <definedName name="gcongbichdn50ss400">#REF!</definedName>
    <definedName name="gcongbichdn65inox" localSheetId="0">#REF!</definedName>
    <definedName name="gcongbichdn65inox">#REF!</definedName>
    <definedName name="gcongbichdn80inox" localSheetId="0">#REF!</definedName>
    <definedName name="gcongbichdn80inox">#REF!</definedName>
    <definedName name="gcsightglass" localSheetId="0">#REF!</definedName>
    <definedName name="gcsightglass">#REF!</definedName>
    <definedName name="GG" localSheetId="0">#REF!</definedName>
    <definedName name="GG">#REF!</definedName>
    <definedName name="giabacdan" localSheetId="0">#REF!</definedName>
    <definedName name="giabacdan">#REF!</definedName>
    <definedName name="giabdUCFC80" localSheetId="0">#REF!</definedName>
    <definedName name="giabdUCFC80">#REF!</definedName>
    <definedName name="giabtABB11kw" localSheetId="0">#REF!</definedName>
    <definedName name="giabtABB11kw">#REF!</definedName>
    <definedName name="giabtABB18kw" localSheetId="0">#REF!</definedName>
    <definedName name="giabtABB18kw">#REF!</definedName>
    <definedName name="giabtABB22Kw" localSheetId="0">#REF!</definedName>
    <definedName name="giabtABB22Kw">#REF!</definedName>
    <definedName name="giacoupling102inox" localSheetId="0">#REF!</definedName>
    <definedName name="giacoupling102inox">#REF!</definedName>
    <definedName name="giadonghoap10bar" localSheetId="0">#REF!</definedName>
    <definedName name="giadonghoap10bar">#REF!</definedName>
    <definedName name="giagcbdinox" localSheetId="0">#REF!</definedName>
    <definedName name="giagcbdinox">#REF!</definedName>
    <definedName name="giagcbinox" localSheetId="0">#REF!</definedName>
    <definedName name="giagcbinox">#REF!</definedName>
    <definedName name="giagcbinox304" localSheetId="0">#REF!</definedName>
    <definedName name="giagcbinox304">#REF!</definedName>
    <definedName name="giagcblinox" localSheetId="0">#REF!</definedName>
    <definedName name="giagcblinox">#REF!</definedName>
    <definedName name="giagcblss400" localSheetId="0">#REF!</definedName>
    <definedName name="giagcblss400">#REF!</definedName>
    <definedName name="giagcbminox" localSheetId="0">#REF!</definedName>
    <definedName name="giagcbminox">#REF!</definedName>
    <definedName name="giagcbmlinox" localSheetId="0">#REF!</definedName>
    <definedName name="giagcbmlinox">#REF!</definedName>
    <definedName name="giagcbss400" localSheetId="0">#REF!</definedName>
    <definedName name="giagcbss400">#REF!</definedName>
    <definedName name="giagccinox304" localSheetId="0">#REF!</definedName>
    <definedName name="giagccinox304">#REF!</definedName>
    <definedName name="giagccss400" localSheetId="0">#REF!</definedName>
    <definedName name="giagccss400">#REF!</definedName>
    <definedName name="giagcdb" localSheetId="0">#REF!</definedName>
    <definedName name="giagcdb">#REF!</definedName>
    <definedName name="giagclinox" localSheetId="0">#REF!</definedName>
    <definedName name="giagclinox">#REF!</definedName>
    <definedName name="giagcocinox" localSheetId="0">#REF!</definedName>
    <definedName name="giagcocinox">#REF!</definedName>
    <definedName name="giagcson" localSheetId="0">#REF!</definedName>
    <definedName name="giagcson">#REF!</definedName>
    <definedName name="giagctaminox" localSheetId="0">#REF!</definedName>
    <definedName name="giagctaminox">#REF!</definedName>
    <definedName name="giagctamss400" localSheetId="0">#REF!</definedName>
    <definedName name="giagctamss400">#REF!</definedName>
    <definedName name="giagctbinox" localSheetId="0">#REF!</definedName>
    <definedName name="giagctbinox">#REF!</definedName>
    <definedName name="giagctinox" localSheetId="0">#REF!</definedName>
    <definedName name="giagctinox">#REF!</definedName>
    <definedName name="giagctinox304" localSheetId="0">#REF!</definedName>
    <definedName name="giagctinox304">#REF!</definedName>
    <definedName name="giagctrinox" localSheetId="0">#REF!</definedName>
    <definedName name="giagctrinox">#REF!</definedName>
    <definedName name="giagctss400" localSheetId="0">#REF!</definedName>
    <definedName name="giagctss400">#REF!</definedName>
    <definedName name="giahanong1inch" localSheetId="0">#REF!</definedName>
    <definedName name="giahanong1inch">#REF!</definedName>
    <definedName name="giainox304" localSheetId="0">#REF!</definedName>
    <definedName name="giainox304">#REF!</definedName>
    <definedName name="giakinhcuongluc" localSheetId="0">#REF!</definedName>
    <definedName name="giakinhcuongluc">#REF!</definedName>
    <definedName name="giakntr" localSheetId="0">#REF!</definedName>
    <definedName name="giakntr">#REF!</definedName>
    <definedName name="gialaptudien" localSheetId="0">#REF!</definedName>
    <definedName name="gialaptudien">#REF!</definedName>
    <definedName name="gialinox" localSheetId="0">#REF!</definedName>
    <definedName name="gialinox">#REF!</definedName>
    <definedName name="giamanhole450inox" localSheetId="0">#REF!</definedName>
    <definedName name="giamanhole450inox">#REF!</definedName>
    <definedName name="giamotor0.4kw" localSheetId="0">#REF!</definedName>
    <definedName name="giamotor0.4kw">#REF!</definedName>
    <definedName name="giamotor0.75taiwan" localSheetId="0">#REF!</definedName>
    <definedName name="giamotor0.75taiwan">#REF!</definedName>
    <definedName name="giamotor11Kwnord" localSheetId="0">#REF!</definedName>
    <definedName name="giamotor11Kwnord">#REF!</definedName>
    <definedName name="giamotor11kwnord319rpm" localSheetId="0">#REF!</definedName>
    <definedName name="giamotor11kwnord319rpm">#REF!</definedName>
    <definedName name="giamotor18.5kwnord60rpm" localSheetId="0">#REF!</definedName>
    <definedName name="giamotor18.5kwnord60rpm">#REF!</definedName>
    <definedName name="giamotor2.2kwtaiwan" localSheetId="0">#REF!</definedName>
    <definedName name="giamotor2.2kwtaiwan">#REF!</definedName>
    <definedName name="giamotor22Kwnord" localSheetId="0">#REF!</definedName>
    <definedName name="giamotor22Kwnord">#REF!</definedName>
    <definedName name="giaocninox" localSheetId="0">#REF!</definedName>
    <definedName name="giaocninox">#REF!</definedName>
    <definedName name="giaocninox304" localSheetId="0">#REF!</definedName>
    <definedName name="giaocninox304">#REF!</definedName>
    <definedName name="giaocnss400" localSheetId="0">#REF!</definedName>
    <definedName name="giaocnss400">#REF!</definedName>
    <definedName name="giaodcninox" localSheetId="0">#REF!</definedName>
    <definedName name="giaodcninox">#REF!</definedName>
    <definedName name="giass400" localSheetId="0">#REF!</definedName>
    <definedName name="giass400">#REF!</definedName>
    <definedName name="giatehan13inox" localSheetId="0">#REF!</definedName>
    <definedName name="giatehan13inox">#REF!</definedName>
    <definedName name="giathinox" localSheetId="0">#REF!</definedName>
    <definedName name="giathinox">#REF!</definedName>
    <definedName name="giatudien22Kw" localSheetId="0">#REF!</definedName>
    <definedName name="giatudien22Kw">#REF!</definedName>
    <definedName name="giavanantoan4bar" localSheetId="0">#REF!</definedName>
    <definedName name="giavanantoan4bar">#REF!</definedName>
    <definedName name="giavanbi13inox" localSheetId="0">#REF!</definedName>
    <definedName name="giavanbi13inox">#REF!</definedName>
    <definedName name="giavanbi21inox" localSheetId="0">#REF!</definedName>
    <definedName name="giavanbi21inox">#REF!</definedName>
    <definedName name="giavanbi27inox" localSheetId="0">#REF!</definedName>
    <definedName name="giavanbi27inox">#REF!</definedName>
    <definedName name="giavanbi34inox" localSheetId="0">#REF!</definedName>
    <definedName name="giavanbi34inox">#REF!</definedName>
    <definedName name="giavtdb" localSheetId="0">#REF!</definedName>
    <definedName name="giavtdb">#REF!</definedName>
    <definedName name="giavtson" localSheetId="0">#REF!</definedName>
    <definedName name="giavtson">#REF!</definedName>
    <definedName name="giavtsoncchay" localSheetId="0">#REF!</definedName>
    <definedName name="giavtsoncchay">#REF!</definedName>
    <definedName name="gkuyu" localSheetId="0">#REF!</definedName>
    <definedName name="gkuyu">#REF!</definedName>
    <definedName name="glnnc" localSheetId="0">#REF!</definedName>
    <definedName name="glnnc">#REF!</definedName>
    <definedName name="glnvt" localSheetId="0">#REF!</definedName>
    <definedName name="glnvt">#REF!</definedName>
    <definedName name="hjy" localSheetId="0">#REF!</definedName>
    <definedName name="hjy">#REF!</definedName>
    <definedName name="hslnmt" localSheetId="0">#REF!</definedName>
    <definedName name="hslnmt">#REF!</definedName>
    <definedName name="hslnnc" localSheetId="0">#REF!</definedName>
    <definedName name="hslnnc">#REF!</definedName>
    <definedName name="hslnvt" localSheetId="0">#REF!</definedName>
    <definedName name="hslnvt">#REF!</definedName>
    <definedName name="hsvt" localSheetId="0">#REF!</definedName>
    <definedName name="hsvt">#REF!</definedName>
    <definedName name="inox" localSheetId="0">#REF!</definedName>
    <definedName name="inox">#REF!</definedName>
    <definedName name="inox1" localSheetId="0">#REF!</definedName>
    <definedName name="inox1">#REF!</definedName>
    <definedName name="inox316" localSheetId="0">#REF!</definedName>
    <definedName name="inox316">#REF!</definedName>
    <definedName name="JGJK" localSheetId="0">#REF!</definedName>
    <definedName name="JGJK">#REF!</definedName>
    <definedName name="nccs" localSheetId="0">#REF!</definedName>
    <definedName name="nccs">#REF!</definedName>
    <definedName name="ongbichdn100inox" localSheetId="0">#REF!</definedName>
    <definedName name="ongbichdn100inox">#REF!</definedName>
    <definedName name="ongbichdn100ss400" localSheetId="0">#REF!</definedName>
    <definedName name="ongbichdn100ss400">#REF!</definedName>
    <definedName name="ongbichdn125inox" localSheetId="0">#REF!</definedName>
    <definedName name="ongbichdn125inox">#REF!</definedName>
    <definedName name="ongbichdn150inox" localSheetId="0">#REF!</definedName>
    <definedName name="ongbichdn150inox">#REF!</definedName>
    <definedName name="ongbichdn15inox" localSheetId="0">#REF!</definedName>
    <definedName name="ongbichdn15inox">#REF!</definedName>
    <definedName name="ongbichdn200inox" localSheetId="0">#REF!</definedName>
    <definedName name="ongbichdn200inox">#REF!</definedName>
    <definedName name="ongbichdn20inox" localSheetId="0">#REF!</definedName>
    <definedName name="ongbichdn20inox">#REF!</definedName>
    <definedName name="ongbichdn25" localSheetId="0">#REF!</definedName>
    <definedName name="ongbichdn25">#REF!</definedName>
    <definedName name="ongbichdn25inox" localSheetId="0">#REF!</definedName>
    <definedName name="ongbichdn25inox">#REF!</definedName>
    <definedName name="ongbichdn300inox" localSheetId="0">#REF!</definedName>
    <definedName name="ongbichdn300inox">#REF!</definedName>
    <definedName name="ongbichdn40inox" localSheetId="0">#REF!</definedName>
    <definedName name="ongbichdn40inox">#REF!</definedName>
    <definedName name="ongbichdn50inox" localSheetId="0">#REF!</definedName>
    <definedName name="ongbichdn50inox">#REF!</definedName>
    <definedName name="ongbichdn50ss400" localSheetId="0">#REF!</definedName>
    <definedName name="ongbichdn50ss400">#REF!</definedName>
    <definedName name="ongbichdn65inox" localSheetId="0">#REF!</definedName>
    <definedName name="ongbichdn65inox">#REF!</definedName>
    <definedName name="ongbichdn80inox" localSheetId="0">#REF!</definedName>
    <definedName name="ongbichdn80inox">#REF!</definedName>
    <definedName name="ongbichdn80ss400" localSheetId="0">#REF!</definedName>
    <definedName name="ongbichdn80ss400">#REF!</definedName>
    <definedName name="ongclamp3inox" localSheetId="0">#REF!</definedName>
    <definedName name="ongclamp3inox">#REF!</definedName>
    <definedName name="ongcoupling1.5inox" localSheetId="0">#REF!</definedName>
    <definedName name="ongcoupling1.5inox">#REF!</definedName>
    <definedName name="ongcoupling1inox" localSheetId="0">#REF!</definedName>
    <definedName name="ongcoupling1inox">#REF!</definedName>
    <definedName name="ongcoupling2inox" localSheetId="0">#REF!</definedName>
    <definedName name="ongcoupling2inox">#REF!</definedName>
    <definedName name="ongcoupling3inox" localSheetId="0">#REF!</definedName>
    <definedName name="ongcoupling3inox">#REF!</definedName>
    <definedName name="ongvanbidn15inox" localSheetId="0">#REF!</definedName>
    <definedName name="ongvanbidn15inox">#REF!</definedName>
    <definedName name="ongvanbidn20inox" localSheetId="0">#REF!</definedName>
    <definedName name="ongvanbidn20inox">#REF!</definedName>
    <definedName name="ongvanbidn20ss400" localSheetId="0">#REF!</definedName>
    <definedName name="ongvanbidn20ss400">#REF!</definedName>
    <definedName name="ongvanbidn25inox" localSheetId="0">#REF!</definedName>
    <definedName name="ongvanbidn25inox">#REF!</definedName>
    <definedName name="ongvanbidn32ss400" localSheetId="0">#REF!</definedName>
    <definedName name="ongvanbidn32ss400">#REF!</definedName>
    <definedName name="phuncat" localSheetId="0">#REF!</definedName>
    <definedName name="phuncat">#REF!</definedName>
    <definedName name="_xlnm.Print_Area" localSheetId="0">'ĐỀ NGHỊ VẬT TƯ '!$A$1:$O$85</definedName>
    <definedName name="_xlnm.Print_Titles" localSheetId="0">'ĐỀ NGHỊ VẬT TƯ '!$1:$11</definedName>
    <definedName name="quacaucodinh1" localSheetId="0">#REF!</definedName>
    <definedName name="quacaucodinh1">#REF!</definedName>
    <definedName name="qứg" localSheetId="0">#REF!</definedName>
    <definedName name="qứg">#REF!</definedName>
    <definedName name="SDF" localSheetId="0">#REF!</definedName>
    <definedName name="SDF">#REF!</definedName>
    <definedName name="sightglass" localSheetId="0">#REF!</definedName>
    <definedName name="sightglass">#REF!</definedName>
    <definedName name="tank1000" localSheetId="0">#REF!</definedName>
    <definedName name="tank1000">#REF!</definedName>
    <definedName name="themmowell" localSheetId="0">#REF!</definedName>
    <definedName name="themmowell">#REF!</definedName>
    <definedName name="thu" localSheetId="0">#REF!</definedName>
    <definedName name="thu">#REF!</definedName>
    <definedName name="TKO" localSheetId="0">#REF!</definedName>
    <definedName name="TKO">#REF!</definedName>
    <definedName name="vanantoandn15" localSheetId="0">#REF!</definedName>
    <definedName name="vanantoandn15">#REF!</definedName>
    <definedName name="vanbi34inox" localSheetId="0">#REF!</definedName>
    <definedName name="vanbi34inox">#REF!</definedName>
    <definedName name="vanbuom2sms304" localSheetId="0">#REF!</definedName>
    <definedName name="vanbuom2sms304">#REF!</definedName>
    <definedName name="vanchankhong27" localSheetId="0">#REF!</definedName>
    <definedName name="vanchankhong27">#REF!</definedName>
    <definedName name="vanlaymau" localSheetId="0">#REF!</definedName>
    <definedName name="vanlaymau">#REF!</definedName>
    <definedName name="vkk" localSheetId="0">#REF!</definedName>
    <definedName name="vkk">#REF!</definedName>
    <definedName name="vll" localSheetId="0">#REF!</definedName>
    <definedName name="vll">#REF!</definedName>
    <definedName name="vtcs" localSheetId="0">#REF!</definedName>
    <definedName name="vtcs">#REF!</definedName>
    <definedName name="wad" localSheetId="0">#REF!</definedName>
    <definedName name="wad">#REF!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0" i="25" l="1"/>
  <c r="L39" i="25"/>
  <c r="L38" i="25"/>
  <c r="L31" i="25"/>
  <c r="L22" i="25"/>
  <c r="L21" i="25"/>
  <c r="L71" i="25" l="1"/>
  <c r="L46" i="25"/>
  <c r="L37" i="25"/>
  <c r="L30" i="25"/>
  <c r="L29" i="25"/>
  <c r="L28" i="25"/>
  <c r="L27" i="25"/>
  <c r="L26" i="25"/>
  <c r="L25" i="25"/>
  <c r="X10" i="25"/>
  <c r="N2" i="25"/>
</calcChain>
</file>

<file path=xl/sharedStrings.xml><?xml version="1.0" encoding="utf-8"?>
<sst xmlns="http://schemas.openxmlformats.org/spreadsheetml/2006/main" count="253" uniqueCount="188">
  <si>
    <r>
      <rPr>
        <b/>
        <sz val="20"/>
        <color theme="1"/>
        <rFont val="Times New Roman"/>
        <family val="1"/>
      </rPr>
      <t>CÔNG TY TNHH TM DV DTC</t>
    </r>
    <r>
      <rPr>
        <sz val="16"/>
        <color theme="1"/>
        <rFont val="Times New Roman"/>
        <family val="1"/>
      </rPr>
      <t xml:space="preserve">
</t>
    </r>
    <r>
      <rPr>
        <sz val="14"/>
        <color theme="1"/>
        <rFont val="Times New Roman"/>
        <family val="1"/>
      </rPr>
      <t>Địa chỉ: Số 86 Đường 65, P. Tân Phong, Q.7, TP.HCM</t>
    </r>
    <r>
      <rPr>
        <sz val="16"/>
        <color theme="1"/>
        <rFont val="Times New Roman"/>
        <family val="1"/>
      </rPr>
      <t xml:space="preserve">
MST:     0312707210</t>
    </r>
  </si>
  <si>
    <t>Số chứng từ:</t>
  </si>
  <si>
    <t>Ngày/tháng/năm:</t>
  </si>
  <si>
    <t xml:space="preserve">ĐỀ NGHỊ VẬT TƯ </t>
  </si>
  <si>
    <t xml:space="preserve">Người đề nghị : </t>
  </si>
  <si>
    <r>
      <rPr>
        <b/>
        <sz val="13"/>
        <rFont val="Times New Roman"/>
        <family val="1"/>
      </rPr>
      <t>Mã NV:</t>
    </r>
    <r>
      <rPr>
        <sz val="13"/>
        <rFont val="Times New Roman"/>
        <family val="1"/>
      </rPr>
      <t xml:space="preserve"> </t>
    </r>
  </si>
  <si>
    <t>Ngày yêu cầu có hàng:</t>
  </si>
  <si>
    <t xml:space="preserve">Chức vụ: </t>
  </si>
  <si>
    <t xml:space="preserve">Bộ phận : </t>
  </si>
  <si>
    <t>Chứng từ đối chiếu:</t>
  </si>
  <si>
    <t xml:space="preserve">Mã dự án : </t>
  </si>
  <si>
    <t>Số lần Đề nghị/DA:</t>
  </si>
  <si>
    <t>001</t>
  </si>
  <si>
    <t>Tên dự án:</t>
  </si>
  <si>
    <t>STT</t>
  </si>
  <si>
    <t>THÔNG TIN SẢN PHẨM</t>
  </si>
  <si>
    <t>Dài (mm)</t>
  </si>
  <si>
    <t>Rộng (mm)</t>
  </si>
  <si>
    <t>Cao (mm)</t>
  </si>
  <si>
    <t>Đơn vị tính</t>
  </si>
  <si>
    <t xml:space="preserve">Số lượng </t>
  </si>
  <si>
    <t>Độ dày (mm)</t>
  </si>
  <si>
    <t>Diễn giải quy cách / yêu cầu</t>
  </si>
  <si>
    <t>Ghi chú</t>
  </si>
  <si>
    <t>Cái</t>
  </si>
  <si>
    <t>DN50,PN16</t>
  </si>
  <si>
    <t xml:space="preserve">Racco </t>
  </si>
  <si>
    <t>DN50</t>
  </si>
  <si>
    <t xml:space="preserve">Co ren 90° </t>
  </si>
  <si>
    <t>Nối ren 2 đầu kép</t>
  </si>
  <si>
    <t>Ngã chữ T</t>
  </si>
  <si>
    <t>Bộ lọc đường ống ( Bộ/3 cái )</t>
  </si>
  <si>
    <t>Theo máy nén khí</t>
  </si>
  <si>
    <t>Van xả tự động</t>
  </si>
  <si>
    <t>Đồng thau Ren 21, ống Ø12</t>
  </si>
  <si>
    <t>Cây</t>
  </si>
  <si>
    <t>Ø60 *3mm*6000mm</t>
  </si>
  <si>
    <t>Nối ren 2 đầu kép 21/21</t>
  </si>
  <si>
    <t>Bộ</t>
  </si>
  <si>
    <t>Măng song kẽm  Ø60 ( nối ren trong ống 60)</t>
  </si>
  <si>
    <t xml:space="preserve">Cái </t>
  </si>
  <si>
    <t>Mét</t>
  </si>
  <si>
    <t>Ø12</t>
  </si>
  <si>
    <t>V50 x5mm, dài 6m</t>
  </si>
  <si>
    <t>Dây rút nhựa size 4x300mm</t>
  </si>
  <si>
    <t>Bịch</t>
  </si>
  <si>
    <t>Van khóa đồng tay gạt 2 đầu ren trong 21</t>
  </si>
  <si>
    <t>Băng keo non</t>
  </si>
  <si>
    <t>Cuộn</t>
  </si>
  <si>
    <t>Người đề nghị</t>
  </si>
  <si>
    <t>Trưởng bộ phận</t>
  </si>
  <si>
    <t>Giám đốc</t>
  </si>
  <si>
    <t>Mẫu số 01/21: KL</t>
  </si>
  <si>
    <t>Ban hành: 17/05/21</t>
  </si>
  <si>
    <t>PHIẾU NHẬP KHO THÀNH PHẨM</t>
  </si>
  <si>
    <t xml:space="preserve">Ngày        tháng        năm               </t>
  </si>
  <si>
    <t>Số……………</t>
  </si>
  <si>
    <t>Bên giao hàng:</t>
  </si>
  <si>
    <t>Theo……….số……..</t>
  </si>
  <si>
    <t xml:space="preserve">Ngày………..tháng………….năm……...           </t>
  </si>
  <si>
    <t>Nhập tại kho:</t>
  </si>
  <si>
    <t>Địa điểm:</t>
  </si>
  <si>
    <t>Mã hàng</t>
  </si>
  <si>
    <t>Tên nhãn hiệu, quy cách, dụng cụ, 
sản phẩm, hàng hóa</t>
  </si>
  <si>
    <t>Tổng kho</t>
  </si>
  <si>
    <t>ĐVT</t>
  </si>
  <si>
    <t>Số lượng</t>
  </si>
  <si>
    <t>Ca giao</t>
  </si>
  <si>
    <t>Ghi Chú</t>
  </si>
  <si>
    <t>Số 
thùng</t>
  </si>
  <si>
    <t>SL 
/Thùng</t>
  </si>
  <si>
    <t>SL
 nhập</t>
  </si>
  <si>
    <t>2</t>
  </si>
  <si>
    <t>QC</t>
  </si>
  <si>
    <t>Trưởng Ca</t>
  </si>
  <si>
    <t>Thủ kho</t>
  </si>
  <si>
    <t>Quản Lý</t>
  </si>
  <si>
    <t xml:space="preserve">PHIẾU NHẬP KHO </t>
  </si>
  <si>
    <t>Mã hàng TP</t>
  </si>
  <si>
    <t>Mã hàng NVL</t>
  </si>
  <si>
    <t>Mã</t>
  </si>
  <si>
    <t>BKN</t>
  </si>
  <si>
    <t>CNR21-12</t>
  </si>
  <si>
    <t>N2DRK21</t>
  </si>
  <si>
    <t>OHOI-12</t>
  </si>
  <si>
    <t>SVS-MNK</t>
  </si>
  <si>
    <t>VANBID50-16</t>
  </si>
  <si>
    <t>RACCO-50</t>
  </si>
  <si>
    <t>COREN90-50</t>
  </si>
  <si>
    <t>N2DRK50</t>
  </si>
  <si>
    <t>THEPO.60*3*6000</t>
  </si>
  <si>
    <t>MS-60</t>
  </si>
  <si>
    <t>NTRT-50</t>
  </si>
  <si>
    <t>DR-4.300</t>
  </si>
  <si>
    <t>THEPV50</t>
  </si>
  <si>
    <t>VANK2DR-21</t>
  </si>
  <si>
    <t>DTC-</t>
  </si>
  <si>
    <t>Sin làm kín Rắc-co Ø60 *3mm</t>
  </si>
  <si>
    <t>SRC-60</t>
  </si>
  <si>
    <t>Sợi</t>
  </si>
  <si>
    <t>Ống kẽm Ø60 *3mm*6000</t>
  </si>
  <si>
    <t>Tê giảm ren 60/21</t>
  </si>
  <si>
    <t>TGR60-21</t>
  </si>
  <si>
    <t>OHOI-10</t>
  </si>
  <si>
    <t>Ống mềm Ø12mm</t>
  </si>
  <si>
    <t>Ống mềm Ø10mm</t>
  </si>
  <si>
    <t>Len (cuộn tròn quấn ống ren khí nén)</t>
  </si>
  <si>
    <t>LEN_ORKN</t>
  </si>
  <si>
    <t>Cùm U (ren M8) cố định ống 60</t>
  </si>
  <si>
    <t>CUMU-RM8-O60</t>
  </si>
  <si>
    <t>Co giảm ren 60/49</t>
  </si>
  <si>
    <t>CGR60-49</t>
  </si>
  <si>
    <t>Cút nối nhanh ren ngoài 21mm nối ống Ø10mm</t>
  </si>
  <si>
    <t>CNR21-10</t>
  </si>
  <si>
    <t>Máy</t>
  </si>
  <si>
    <t>Đồng thau Ren 21, ống Ø10</t>
  </si>
  <si>
    <t>Cút nối nhanh ren ngoài 21 nối ống Ø12mm</t>
  </si>
  <si>
    <t>Đường khí nén bảo trì</t>
  </si>
  <si>
    <t>CNR21-8</t>
  </si>
  <si>
    <t>Cút nối nhanh ren ngoài 21 nối ống Ø8mm</t>
  </si>
  <si>
    <t>ON21</t>
  </si>
  <si>
    <t>Ống nhựa Ø21mm</t>
  </si>
  <si>
    <t>CNNT21</t>
  </si>
  <si>
    <t>Co nhựa nối ống 21 có 1 đầu ren 21</t>
  </si>
  <si>
    <t>TNO21</t>
  </si>
  <si>
    <t>Tê nối ống 21 có 1 đầu ren 21</t>
  </si>
  <si>
    <t>CTO21</t>
  </si>
  <si>
    <t>Co trơn ống  Ø21</t>
  </si>
  <si>
    <t>TNOT21</t>
  </si>
  <si>
    <t>Tê nối ống trơn  Ø21</t>
  </si>
  <si>
    <t>NOT21</t>
  </si>
  <si>
    <t>Nối ống trơn Ø21</t>
  </si>
  <si>
    <t>C.OMG21</t>
  </si>
  <si>
    <t>Cùm Ômega Ø21</t>
  </si>
  <si>
    <t>TKN8V</t>
  </si>
  <si>
    <t>Tắc kê nhựa 8 + vít</t>
  </si>
  <si>
    <t>KD-ON</t>
  </si>
  <si>
    <t>Keo dán ống nhựa 0.5kg</t>
  </si>
  <si>
    <t>Hộp</t>
  </si>
  <si>
    <t>COSON30</t>
  </si>
  <si>
    <t>Cọ sơn 30mm</t>
  </si>
  <si>
    <t>DC100</t>
  </si>
  <si>
    <t>Đá cắt 100mm</t>
  </si>
  <si>
    <t>Miếng</t>
  </si>
  <si>
    <t>NHOT-MRO</t>
  </si>
  <si>
    <t>Nhớt máy ren ống</t>
  </si>
  <si>
    <t>Lít</t>
  </si>
  <si>
    <t>CLS50</t>
  </si>
  <si>
    <t>Con lăn sơn 50mm</t>
  </si>
  <si>
    <t>Con</t>
  </si>
  <si>
    <t>Bao tay len</t>
  </si>
  <si>
    <t>Đôi</t>
  </si>
  <si>
    <t>Giẻ lau</t>
  </si>
  <si>
    <t>Kg</t>
  </si>
  <si>
    <t>Que hàn 2.5mm</t>
  </si>
  <si>
    <t>Ø60 *3mm</t>
  </si>
  <si>
    <t>DN50/15</t>
  </si>
  <si>
    <t>VXD-MICB</t>
  </si>
  <si>
    <t>Van điện tử xả nước tự động Joc MIC-B (230V/15W)</t>
  </si>
  <si>
    <t>Nối hai đầu ren kép 21/21</t>
  </si>
  <si>
    <t>COREN90-15</t>
  </si>
  <si>
    <t>Co ren 21</t>
  </si>
  <si>
    <r>
      <t>Dây điện 2x1.5mm</t>
    </r>
    <r>
      <rPr>
        <sz val="13"/>
        <rFont val=".VnArial Narrow"/>
        <family val="2"/>
      </rPr>
      <t>²</t>
    </r>
  </si>
  <si>
    <t xml:space="preserve">KHUYẾN NGHỊ KHÁCH HÀNG </t>
  </si>
  <si>
    <t>VẬT TƯ ĐIỆN TẠM TÍNH</t>
  </si>
  <si>
    <t>MCB - 10A cấp nguồn cho máy sấy khí</t>
  </si>
  <si>
    <t>DN15</t>
  </si>
  <si>
    <t>Đồng thau Ren 21, ống Ø8</t>
  </si>
  <si>
    <t>Ø10</t>
  </si>
  <si>
    <t>Bộ dao ren ống 1-2"</t>
  </si>
  <si>
    <t>Dao tiện ren ống 1 - 2" (DN25 - DN50)</t>
  </si>
  <si>
    <t>Bình chứa khí nén + phụ kiện (Van an toàn, van xả đáy, đồng hồ,...)</t>
  </si>
  <si>
    <t>Làm bát đỡ đường ống, cụm bypass</t>
  </si>
  <si>
    <t>Lấy khí nén bảo trì máy</t>
  </si>
  <si>
    <t>Sơn bạc (Bạch Tuyết) 0.5Kg</t>
  </si>
  <si>
    <t>Đây là thiết bị khuyến nghị khách hàng gắn thêm (Nếu không sử dụng vui lòng bỏ qua phần này).</t>
  </si>
  <si>
    <t>Tuỳ thuộc vào bố trí máy nén, máy sấy, cách đi dây và vị trí đặt MCCB cấp nguồn cho máy nén khí; sau khi giao và đưa máy vào vị trí mới xác định cụ thể vật tư điện.</t>
  </si>
  <si>
    <t>Vật tư lắp đặt hệ máy nén khí 75HP</t>
  </si>
  <si>
    <t>Máy nén khí 75HP</t>
  </si>
  <si>
    <t xml:space="preserve">Máy sấy khí nén </t>
  </si>
  <si>
    <t>Cút Y nối nhanh ống khí nén Ф10mm</t>
  </si>
  <si>
    <t>CYNOKN10</t>
  </si>
  <si>
    <t>MCCB 3pha LS 200A</t>
  </si>
  <si>
    <t>Dây điện cấp nguồn cho máy nén khí CV 3x50 + 1x25</t>
  </si>
  <si>
    <t>Dây nguồn cấp điện cho máy sấy khí CV 3x2.0</t>
  </si>
  <si>
    <t>VẬT TƯ LẮP ĐẶT BỘ MÁY NÉN KHÍ 75HP TIÊU CHUẨN THEO SƠ ĐỒ</t>
  </si>
  <si>
    <t xml:space="preserve">Súng xịt hơi + ống xoắn hơi 9m </t>
  </si>
  <si>
    <t>Van bi đồng DN50, PN16 ( loại tay gạt)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</si>
</sst>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
    <numFmt numFmtId="165" formatCode="&quot;Dep Code: &quot;\ ###"/>
    <numFmt numFmtId="166" formatCode="[$-1010000]d/m/yyyy;@"/>
    <numFmt numFmtId="167" formatCode="_(* #,##0_);_(* \(#,##0\);_(* &quot;-&quot;??_);_(@_)"/>
  </numFmts>
  <fonts count="25">
    <font>
      <sz val="11"/>
      <color theme="1"/>
      <name val="Calibri"/>
      <charset val="134"/>
      <scheme val="minor"/>
    </font>
    <font>
      <sz val="11"/>
      <color theme="1"/>
      <name val="Times New Roman"/>
      <family val="1"/>
    </font>
    <font>
      <b/>
      <sz val="10"/>
      <color theme="1"/>
      <name val="Times New Roman"/>
      <family val="1"/>
    </font>
    <font>
      <b/>
      <i/>
      <sz val="11"/>
      <color theme="1"/>
      <name val="Times New Roman"/>
      <family val="1"/>
    </font>
    <font>
      <b/>
      <sz val="18"/>
      <color theme="1"/>
      <name val="Times New Roman"/>
      <family val="1"/>
    </font>
    <font>
      <sz val="12"/>
      <color theme="1"/>
      <name val="Times New Roman"/>
      <family val="1"/>
    </font>
    <font>
      <b/>
      <sz val="11"/>
      <color theme="1"/>
      <name val="Times New Roman"/>
      <family val="1"/>
    </font>
    <font>
      <sz val="12"/>
      <name val="Times New Roman"/>
      <family val="1"/>
    </font>
    <font>
      <b/>
      <sz val="12"/>
      <name val="Times New Roman"/>
      <family val="1"/>
    </font>
    <font>
      <b/>
      <sz val="9"/>
      <color theme="1"/>
      <name val="Times New Roman"/>
      <family val="1"/>
    </font>
    <font>
      <sz val="16"/>
      <color theme="1"/>
      <name val="Times New Roman"/>
      <family val="1"/>
    </font>
    <font>
      <b/>
      <sz val="28"/>
      <name val="Times New Roman"/>
      <family val="1"/>
    </font>
    <font>
      <b/>
      <sz val="13"/>
      <name val="Times New Roman"/>
      <family val="1"/>
    </font>
    <font>
      <sz val="13"/>
      <name val="Times New Roman"/>
      <family val="1"/>
    </font>
    <font>
      <sz val="13"/>
      <color theme="1"/>
      <name val="Times New Roman"/>
      <family val="1"/>
    </font>
    <font>
      <b/>
      <sz val="14"/>
      <name val="Times New Roman"/>
      <family val="1"/>
    </font>
    <font>
      <sz val="10"/>
      <name val="VNI-Times"/>
    </font>
    <font>
      <sz val="10"/>
      <name val="Arial"/>
      <family val="2"/>
    </font>
    <font>
      <b/>
      <sz val="20"/>
      <color theme="1"/>
      <name val="Times New Roman"/>
      <family val="1"/>
    </font>
    <font>
      <sz val="14"/>
      <color theme="1"/>
      <name val="Times New Roman"/>
      <family val="1"/>
    </font>
    <font>
      <b/>
      <sz val="13"/>
      <color theme="1"/>
      <name val="Times New Roman"/>
      <family val="1"/>
    </font>
    <font>
      <sz val="13"/>
      <color theme="1"/>
      <name val="Times New Roman"/>
      <family val="1"/>
    </font>
    <font>
      <sz val="13"/>
      <name val="Times New Roman"/>
      <family val="1"/>
    </font>
    <font>
      <sz val="13"/>
      <name val=".VnArial Narrow"/>
      <family val="2"/>
    </font>
    <font>
      <sz val="13"/>
      <color rgb="FF000000"/>
      <name val="Times New Roman"/>
      <family val="1"/>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30">
    <border>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right style="thin">
        <color auto="1"/>
      </right>
      <top style="hair">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right/>
      <top style="hair">
        <color auto="1"/>
      </top>
      <bottom/>
      <diagonal/>
    </border>
  </borders>
  <cellStyleXfs count="6">
    <xf numFmtId="0" fontId="0" fillId="0" borderId="0"/>
    <xf numFmtId="43" fontId="16" fillId="0" borderId="0" applyFont="0" applyFill="0" applyBorder="0" applyAlignment="0" applyProtection="0"/>
    <xf numFmtId="0" fontId="17" fillId="0" borderId="0"/>
    <xf numFmtId="0" fontId="16" fillId="0" borderId="0"/>
    <xf numFmtId="0" fontId="17" fillId="0" borderId="0"/>
    <xf numFmtId="0" fontId="17" fillId="0" borderId="0"/>
  </cellStyleXfs>
  <cellXfs count="212">
    <xf numFmtId="0" fontId="0" fillId="0" borderId="0" xfId="0"/>
    <xf numFmtId="0" fontId="1" fillId="0" borderId="0" xfId="0" applyFont="1" applyAlignment="1">
      <alignment vertical="center"/>
    </xf>
    <xf numFmtId="0" fontId="1" fillId="0" borderId="0" xfId="0" applyFont="1"/>
    <xf numFmtId="0" fontId="1" fillId="2" borderId="0" xfId="0" applyFont="1" applyFill="1"/>
    <xf numFmtId="0" fontId="6" fillId="0" borderId="4" xfId="0" applyFont="1" applyBorder="1" applyAlignment="1">
      <alignment horizontal="center" vertical="center"/>
    </xf>
    <xf numFmtId="0" fontId="1" fillId="0" borderId="4" xfId="0" applyFont="1" applyBorder="1" applyAlignment="1">
      <alignment horizontal="center"/>
    </xf>
    <xf numFmtId="0" fontId="1" fillId="0" borderId="4" xfId="0" applyFont="1" applyBorder="1"/>
    <xf numFmtId="0" fontId="6" fillId="0" borderId="0" xfId="0" applyFont="1" applyAlignment="1">
      <alignment horizontal="right" vertical="top"/>
    </xf>
    <xf numFmtId="0" fontId="6" fillId="0" borderId="0" xfId="0" applyFont="1" applyAlignment="1">
      <alignment horizontal="center" vertical="top"/>
    </xf>
    <xf numFmtId="0" fontId="6" fillId="0" borderId="0" xfId="0" applyFont="1" applyAlignment="1">
      <alignment vertical="top"/>
    </xf>
    <xf numFmtId="0" fontId="1" fillId="0" borderId="0" xfId="0" applyFont="1" applyAlignment="1">
      <alignment horizontal="center"/>
    </xf>
    <xf numFmtId="0" fontId="6" fillId="0" borderId="4" xfId="0" applyFont="1" applyBorder="1" applyAlignment="1">
      <alignment horizontal="center" vertical="center" wrapText="1"/>
    </xf>
    <xf numFmtId="0" fontId="7" fillId="0" borderId="0" xfId="0" applyFont="1"/>
    <xf numFmtId="0" fontId="8" fillId="0" borderId="0" xfId="3" applyFont="1" applyAlignment="1">
      <alignment vertical="center"/>
    </xf>
    <xf numFmtId="0" fontId="7" fillId="0" borderId="0" xfId="3" applyFont="1"/>
    <xf numFmtId="0" fontId="7" fillId="0" borderId="0" xfId="3" applyFont="1" applyAlignment="1">
      <alignment wrapText="1"/>
    </xf>
    <xf numFmtId="0" fontId="9" fillId="0" borderId="10" xfId="3" applyFont="1" applyBorder="1" applyAlignment="1">
      <alignment vertical="center"/>
    </xf>
    <xf numFmtId="0" fontId="9" fillId="0" borderId="11" xfId="3" applyFont="1" applyBorder="1" applyAlignment="1">
      <alignment vertical="center" wrapText="1"/>
    </xf>
    <xf numFmtId="0" fontId="9" fillId="0" borderId="12" xfId="3" applyFont="1" applyBorder="1" applyAlignment="1">
      <alignment vertical="center" wrapText="1"/>
    </xf>
    <xf numFmtId="0" fontId="9" fillId="0" borderId="2" xfId="3" applyFont="1" applyBorder="1" applyAlignment="1">
      <alignment vertical="center"/>
    </xf>
    <xf numFmtId="0" fontId="9" fillId="0" borderId="3" xfId="3" applyFont="1" applyBorder="1" applyAlignment="1">
      <alignment vertical="center" wrapText="1"/>
    </xf>
    <xf numFmtId="0" fontId="9" fillId="0" borderId="6" xfId="3" applyFont="1" applyBorder="1" applyAlignment="1">
      <alignment vertical="center" wrapText="1"/>
    </xf>
    <xf numFmtId="0" fontId="9" fillId="0" borderId="0" xfId="3" applyFont="1" applyAlignment="1">
      <alignment vertical="center"/>
    </xf>
    <xf numFmtId="0" fontId="9" fillId="0" borderId="0" xfId="3" applyFont="1" applyAlignment="1">
      <alignment vertical="center" wrapText="1"/>
    </xf>
    <xf numFmtId="0" fontId="7" fillId="3" borderId="0" xfId="5" applyFont="1" applyFill="1" applyAlignment="1" applyProtection="1">
      <alignment vertical="top" wrapText="1"/>
      <protection hidden="1"/>
    </xf>
    <xf numFmtId="0" fontId="12" fillId="0" borderId="0" xfId="4" applyFont="1" applyAlignment="1">
      <alignment horizontal="left" vertical="center" wrapText="1"/>
    </xf>
    <xf numFmtId="0" fontId="12" fillId="0" borderId="0" xfId="4" applyFont="1" applyAlignment="1">
      <alignment horizontal="left" vertical="center" wrapText="1" indent="1"/>
    </xf>
    <xf numFmtId="0" fontId="13" fillId="0" borderId="0" xfId="4" applyFont="1" applyAlignment="1" applyProtection="1">
      <alignment vertical="center"/>
      <protection locked="0"/>
    </xf>
    <xf numFmtId="0" fontId="12" fillId="0" borderId="0" xfId="4" applyFont="1" applyAlignment="1">
      <alignment horizontal="left" vertical="center"/>
    </xf>
    <xf numFmtId="0" fontId="12" fillId="0" borderId="0" xfId="4" applyFont="1" applyAlignment="1">
      <alignment vertical="center" wrapText="1"/>
    </xf>
    <xf numFmtId="0" fontId="12" fillId="0" borderId="4" xfId="4" applyFont="1" applyBorder="1" applyAlignment="1">
      <alignment vertical="center" wrapText="1"/>
    </xf>
    <xf numFmtId="0" fontId="13" fillId="0" borderId="0" xfId="3" applyFont="1" applyAlignment="1">
      <alignment wrapText="1"/>
    </xf>
    <xf numFmtId="165" fontId="12" fillId="0" borderId="0" xfId="4" applyNumberFormat="1" applyFont="1" applyAlignment="1">
      <alignment horizontal="left" vertical="center"/>
    </xf>
    <xf numFmtId="0" fontId="13" fillId="0" borderId="0" xfId="3" applyFont="1"/>
    <xf numFmtId="0" fontId="12" fillId="0" borderId="0" xfId="4" applyFont="1" applyAlignment="1" applyProtection="1">
      <alignment horizontal="left" vertical="center"/>
      <protection locked="0"/>
    </xf>
    <xf numFmtId="0" fontId="12" fillId="0" borderId="0" xfId="4" applyFont="1" applyAlignment="1" applyProtection="1">
      <alignment horizontal="left" vertical="center" wrapText="1"/>
      <protection locked="0"/>
    </xf>
    <xf numFmtId="0" fontId="12" fillId="0" borderId="4" xfId="4" applyFont="1" applyBorder="1" applyAlignment="1" applyProtection="1">
      <alignment horizontal="left" vertical="center" wrapText="1"/>
      <protection locked="0"/>
    </xf>
    <xf numFmtId="0" fontId="12" fillId="0" borderId="0" xfId="4" applyFont="1" applyAlignment="1">
      <alignment vertical="center"/>
    </xf>
    <xf numFmtId="0" fontId="12" fillId="0" borderId="4" xfId="3" applyFont="1" applyBorder="1" applyAlignment="1">
      <alignment horizontal="left" vertical="center" wrapText="1"/>
    </xf>
    <xf numFmtId="0" fontId="8" fillId="0" borderId="0" xfId="4" applyFont="1" applyAlignment="1" applyProtection="1">
      <alignment horizontal="left" vertical="center"/>
      <protection locked="0"/>
    </xf>
    <xf numFmtId="0" fontId="8" fillId="0" borderId="0" xfId="4" applyFont="1" applyAlignment="1" applyProtection="1">
      <alignment horizontal="left" vertical="center" wrapText="1"/>
      <protection locked="0"/>
    </xf>
    <xf numFmtId="0" fontId="12" fillId="0" borderId="13" xfId="0" applyFont="1" applyBorder="1" applyAlignment="1">
      <alignment vertical="center"/>
    </xf>
    <xf numFmtId="3" fontId="12" fillId="0" borderId="13" xfId="0" applyNumberFormat="1" applyFont="1" applyBorder="1" applyAlignment="1">
      <alignment horizontal="center" vertical="center" wrapText="1"/>
    </xf>
    <xf numFmtId="0" fontId="7" fillId="0" borderId="14" xfId="0" applyFont="1" applyBorder="1" applyAlignment="1">
      <alignment horizontal="center" vertical="center"/>
    </xf>
    <xf numFmtId="3" fontId="5" fillId="0" borderId="14" xfId="0" applyNumberFormat="1" applyFont="1" applyBorder="1" applyAlignment="1">
      <alignment horizontal="center" vertical="center"/>
    </xf>
    <xf numFmtId="3" fontId="14" fillId="0" borderId="14"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20" xfId="0" applyFont="1" applyBorder="1" applyAlignment="1">
      <alignment horizontal="center" vertical="center"/>
    </xf>
    <xf numFmtId="3" fontId="14" fillId="0" borderId="20" xfId="0" applyNumberFormat="1" applyFont="1" applyBorder="1" applyAlignment="1">
      <alignment horizontal="center" vertical="center"/>
    </xf>
    <xf numFmtId="0" fontId="8" fillId="0" borderId="0" xfId="3" applyFont="1" applyAlignment="1">
      <alignment vertical="center" wrapText="1"/>
    </xf>
    <xf numFmtId="0" fontId="15" fillId="0" borderId="0" xfId="3" applyFont="1" applyAlignment="1">
      <alignment horizontal="center" vertical="center" wrapText="1"/>
    </xf>
    <xf numFmtId="0" fontId="15" fillId="0" borderId="0" xfId="3" applyFont="1" applyAlignment="1">
      <alignment vertical="center" wrapText="1"/>
    </xf>
    <xf numFmtId="0" fontId="15" fillId="0" borderId="0" xfId="3" applyFont="1" applyAlignment="1">
      <alignment vertical="center"/>
    </xf>
    <xf numFmtId="0" fontId="7" fillId="3" borderId="4" xfId="5" applyFont="1" applyFill="1" applyBorder="1" applyAlignment="1" applyProtection="1">
      <alignment horizontal="left" vertical="center" wrapText="1"/>
      <protection hidden="1"/>
    </xf>
    <xf numFmtId="0" fontId="12" fillId="0" borderId="0" xfId="3" applyFont="1" applyAlignment="1">
      <alignment vertical="center"/>
    </xf>
    <xf numFmtId="0" fontId="12" fillId="0" borderId="0" xfId="4" applyFont="1" applyAlignment="1" applyProtection="1">
      <alignment horizontal="center" vertical="center"/>
      <protection locked="0"/>
    </xf>
    <xf numFmtId="3" fontId="13" fillId="0" borderId="0" xfId="3" applyNumberFormat="1" applyFont="1"/>
    <xf numFmtId="3" fontId="12" fillId="0" borderId="13" xfId="0" applyNumberFormat="1" applyFont="1" applyBorder="1" applyAlignment="1">
      <alignment horizontal="center" vertical="center"/>
    </xf>
    <xf numFmtId="167" fontId="5" fillId="0" borderId="14" xfId="0" applyNumberFormat="1" applyFont="1" applyBorder="1" applyAlignment="1">
      <alignment horizontal="center" vertical="center"/>
    </xf>
    <xf numFmtId="4" fontId="5" fillId="0" borderId="14" xfId="0" applyNumberFormat="1" applyFont="1" applyBorder="1" applyAlignment="1">
      <alignment horizontal="center" vertical="center" wrapText="1"/>
    </xf>
    <xf numFmtId="3" fontId="5" fillId="0" borderId="14" xfId="0" applyNumberFormat="1" applyFont="1" applyBorder="1" applyAlignment="1">
      <alignment vertical="center" wrapText="1"/>
    </xf>
    <xf numFmtId="0" fontId="14" fillId="0" borderId="16" xfId="0" applyFont="1" applyBorder="1" applyAlignment="1">
      <alignment horizontal="center" vertical="center" wrapText="1"/>
    </xf>
    <xf numFmtId="0" fontId="14" fillId="0" borderId="14" xfId="0" applyFont="1" applyBorder="1" applyAlignment="1">
      <alignment horizontal="center" vertical="center" wrapText="1"/>
    </xf>
    <xf numFmtId="3" fontId="14" fillId="0" borderId="14" xfId="0" applyNumberFormat="1" applyFont="1" applyBorder="1" applyAlignment="1">
      <alignment vertical="center" wrapText="1"/>
    </xf>
    <xf numFmtId="1" fontId="14" fillId="0" borderId="14" xfId="0" applyNumberFormat="1" applyFont="1" applyBorder="1" applyAlignment="1">
      <alignment horizontal="center" vertical="center" wrapText="1"/>
    </xf>
    <xf numFmtId="0" fontId="7" fillId="0" borderId="0" xfId="0" applyFont="1" applyAlignment="1">
      <alignment horizontal="center" vertical="center"/>
    </xf>
    <xf numFmtId="0" fontId="14" fillId="0" borderId="20" xfId="0" applyFont="1" applyBorder="1" applyAlignment="1">
      <alignment horizontal="center" vertical="center" wrapText="1"/>
    </xf>
    <xf numFmtId="3" fontId="14" fillId="0" borderId="20" xfId="0" applyNumberFormat="1" applyFont="1" applyBorder="1" applyAlignment="1">
      <alignment vertical="center" wrapText="1"/>
    </xf>
    <xf numFmtId="0" fontId="1" fillId="0" borderId="4" xfId="0" quotePrefix="1" applyFont="1" applyBorder="1" applyAlignment="1">
      <alignment horizontal="center"/>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15" fillId="0" borderId="0" xfId="3" applyFont="1" applyAlignment="1">
      <alignment horizontal="center" vertical="center"/>
    </xf>
    <xf numFmtId="3" fontId="14" fillId="0" borderId="15" xfId="0" applyNumberFormat="1" applyFont="1" applyBorder="1" applyAlignment="1">
      <alignment vertical="center" wrapText="1"/>
    </xf>
    <xf numFmtId="0" fontId="9" fillId="0" borderId="11" xfId="3" applyFont="1" applyBorder="1" applyAlignment="1">
      <alignment vertical="center"/>
    </xf>
    <xf numFmtId="0" fontId="9" fillId="0" borderId="3" xfId="3" applyFont="1" applyBorder="1" applyAlignment="1">
      <alignment vertical="center"/>
    </xf>
    <xf numFmtId="0" fontId="13" fillId="0" borderId="14" xfId="0" applyFont="1" applyBorder="1" applyAlignment="1">
      <alignment horizontal="center" vertical="center"/>
    </xf>
    <xf numFmtId="4" fontId="14" fillId="0" borderId="14"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0" borderId="14" xfId="0" applyFont="1" applyBorder="1" applyAlignment="1">
      <alignment horizontal="center" vertical="center"/>
    </xf>
    <xf numFmtId="0" fontId="14" fillId="4" borderId="14" xfId="0" applyFont="1" applyFill="1" applyBorder="1" applyAlignment="1">
      <alignment horizontal="center" vertical="center"/>
    </xf>
    <xf numFmtId="0" fontId="14" fillId="4" borderId="14" xfId="0" applyFont="1" applyFill="1" applyBorder="1" applyAlignment="1">
      <alignment horizontal="center" vertical="center" wrapText="1"/>
    </xf>
    <xf numFmtId="0" fontId="21" fillId="0" borderId="4" xfId="0" applyFont="1" applyBorder="1" applyAlignment="1">
      <alignment horizontal="center" vertical="center"/>
    </xf>
    <xf numFmtId="3" fontId="21" fillId="0" borderId="4" xfId="0" applyNumberFormat="1" applyFont="1" applyBorder="1" applyAlignment="1">
      <alignment horizontal="center" vertical="center"/>
    </xf>
    <xf numFmtId="0" fontId="21" fillId="0" borderId="4" xfId="0" applyFont="1" applyBorder="1" applyAlignment="1">
      <alignment horizontal="center" vertical="center" wrapText="1"/>
    </xf>
    <xf numFmtId="3" fontId="21" fillId="0" borderId="4" xfId="0" applyNumberFormat="1" applyFont="1" applyFill="1" applyBorder="1" applyAlignment="1">
      <alignment horizontal="center" vertical="center"/>
    </xf>
    <xf numFmtId="0" fontId="21" fillId="0" borderId="4" xfId="0" applyFont="1" applyFill="1" applyBorder="1" applyAlignment="1">
      <alignment horizontal="center" vertical="center"/>
    </xf>
    <xf numFmtId="0" fontId="21" fillId="0" borderId="4" xfId="0" applyFont="1" applyFill="1" applyBorder="1" applyAlignment="1">
      <alignment horizontal="center" vertical="center" wrapText="1"/>
    </xf>
    <xf numFmtId="0" fontId="7" fillId="4" borderId="14" xfId="0" applyFont="1" applyFill="1" applyBorder="1" applyAlignment="1">
      <alignment horizontal="center" vertical="center"/>
    </xf>
    <xf numFmtId="3" fontId="5" fillId="4" borderId="14" xfId="0" applyNumberFormat="1" applyFont="1" applyFill="1" applyBorder="1" applyAlignment="1">
      <alignment horizontal="center" vertical="center"/>
    </xf>
    <xf numFmtId="167" fontId="5" fillId="4" borderId="14" xfId="0" applyNumberFormat="1" applyFont="1" applyFill="1" applyBorder="1" applyAlignment="1">
      <alignment horizontal="center" vertical="center"/>
    </xf>
    <xf numFmtId="4" fontId="5" fillId="4" borderId="14" xfId="0" applyNumberFormat="1" applyFont="1" applyFill="1" applyBorder="1" applyAlignment="1">
      <alignment horizontal="center" vertical="center" wrapText="1"/>
    </xf>
    <xf numFmtId="3" fontId="5" fillId="4" borderId="14" xfId="0" applyNumberFormat="1" applyFont="1" applyFill="1" applyBorder="1" applyAlignment="1">
      <alignment vertical="center" wrapText="1"/>
    </xf>
    <xf numFmtId="3" fontId="14" fillId="4" borderId="14" xfId="0" applyNumberFormat="1" applyFont="1" applyFill="1" applyBorder="1" applyAlignment="1">
      <alignment horizontal="center" vertical="center"/>
    </xf>
    <xf numFmtId="0" fontId="14" fillId="0" borderId="15" xfId="0" applyFont="1" applyBorder="1" applyAlignment="1">
      <alignment horizontal="center" vertical="center"/>
    </xf>
    <xf numFmtId="0" fontId="14" fillId="0" borderId="15" xfId="0" applyFont="1" applyBorder="1" applyAlignment="1">
      <alignment horizontal="center" vertical="center" wrapText="1"/>
    </xf>
    <xf numFmtId="0" fontId="21" fillId="0" borderId="5" xfId="0" applyFont="1" applyFill="1" applyBorder="1" applyAlignment="1">
      <alignment horizontal="center" vertical="center"/>
    </xf>
    <xf numFmtId="0" fontId="22" fillId="0" borderId="3" xfId="0" applyFont="1" applyFill="1" applyBorder="1" applyAlignment="1">
      <alignment horizontal="left" vertical="center"/>
    </xf>
    <xf numFmtId="0" fontId="22" fillId="0" borderId="6" xfId="0" applyFont="1" applyFill="1" applyBorder="1" applyAlignment="1">
      <alignment horizontal="left" vertical="center"/>
    </xf>
    <xf numFmtId="3" fontId="21" fillId="0" borderId="5" xfId="0" applyNumberFormat="1" applyFont="1" applyFill="1" applyBorder="1" applyAlignment="1">
      <alignment horizontal="center" vertical="center"/>
    </xf>
    <xf numFmtId="0" fontId="21" fillId="0" borderId="5" xfId="0" applyFont="1" applyFill="1" applyBorder="1" applyAlignment="1">
      <alignment horizontal="center"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4" fillId="0" borderId="4" xfId="0" applyFont="1" applyFill="1" applyBorder="1" applyAlignment="1">
      <alignment horizontal="center" vertical="center"/>
    </xf>
    <xf numFmtId="3" fontId="14"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0" fontId="14" fillId="2" borderId="14" xfId="0" applyFont="1" applyFill="1" applyBorder="1" applyAlignment="1">
      <alignment horizontal="center" vertical="center"/>
    </xf>
    <xf numFmtId="0" fontId="14" fillId="2" borderId="20" xfId="0" applyFont="1" applyFill="1" applyBorder="1" applyAlignment="1">
      <alignment horizontal="center" vertical="center"/>
    </xf>
    <xf numFmtId="3" fontId="5" fillId="0" borderId="15" xfId="0" applyNumberFormat="1" applyFont="1" applyFill="1" applyBorder="1" applyAlignment="1">
      <alignment vertical="center" wrapText="1"/>
    </xf>
    <xf numFmtId="0" fontId="22" fillId="0" borderId="4" xfId="0" applyFont="1" applyFill="1" applyBorder="1" applyAlignment="1">
      <alignment horizontal="center" vertical="center"/>
    </xf>
    <xf numFmtId="0" fontId="14" fillId="0" borderId="14" xfId="0" applyFont="1" applyBorder="1" applyAlignment="1">
      <alignment horizontal="center" vertical="center"/>
    </xf>
    <xf numFmtId="0" fontId="24" fillId="0" borderId="17" xfId="0" applyFont="1" applyBorder="1" applyAlignment="1">
      <alignment horizontal="center" vertical="center"/>
    </xf>
    <xf numFmtId="0" fontId="24" fillId="0" borderId="19" xfId="0" applyFont="1" applyBorder="1" applyAlignment="1">
      <alignment horizontal="center" vertical="center"/>
    </xf>
    <xf numFmtId="3" fontId="14" fillId="0" borderId="7" xfId="0" applyNumberFormat="1" applyFont="1" applyBorder="1" applyAlignment="1">
      <alignment horizontal="center" vertical="center" wrapText="1"/>
    </xf>
    <xf numFmtId="3" fontId="14" fillId="0" borderId="9" xfId="0" applyNumberFormat="1" applyFont="1" applyBorder="1" applyAlignment="1">
      <alignment horizontal="center" vertical="center" wrapText="1"/>
    </xf>
    <xf numFmtId="0" fontId="14" fillId="0" borderId="14" xfId="0" applyFont="1" applyBorder="1" applyAlignment="1">
      <alignment horizontal="center" vertical="center"/>
    </xf>
    <xf numFmtId="0" fontId="15" fillId="0" borderId="0" xfId="3" applyFont="1" applyAlignment="1">
      <alignment horizontal="center" vertical="center"/>
    </xf>
    <xf numFmtId="3" fontId="21" fillId="0" borderId="17" xfId="0" applyNumberFormat="1" applyFont="1" applyBorder="1" applyAlignment="1">
      <alignment horizontal="center" vertical="center" wrapText="1"/>
    </xf>
    <xf numFmtId="3" fontId="14" fillId="0" borderId="19" xfId="0" applyNumberFormat="1" applyFont="1" applyBorder="1" applyAlignment="1">
      <alignment horizontal="center" vertical="center" wrapText="1"/>
    </xf>
    <xf numFmtId="3" fontId="14" fillId="0" borderId="17" xfId="0" applyNumberFormat="1" applyFont="1" applyBorder="1" applyAlignment="1">
      <alignment horizontal="center" vertical="center" wrapText="1"/>
    </xf>
    <xf numFmtId="0" fontId="21" fillId="0" borderId="14" xfId="0" applyFont="1" applyBorder="1" applyAlignment="1">
      <alignment horizontal="center" vertical="center"/>
    </xf>
    <xf numFmtId="0" fontId="14" fillId="0" borderId="14" xfId="0" applyFont="1" applyBorder="1" applyAlignment="1">
      <alignment horizontal="center" vertical="center"/>
    </xf>
    <xf numFmtId="0" fontId="24" fillId="0" borderId="17" xfId="0" applyFont="1" applyBorder="1" applyAlignment="1">
      <alignment horizontal="center" vertical="center"/>
    </xf>
    <xf numFmtId="0" fontId="24" fillId="0" borderId="19" xfId="0" applyFont="1" applyBorder="1" applyAlignment="1">
      <alignment horizontal="center" vertical="center"/>
    </xf>
    <xf numFmtId="3" fontId="14" fillId="0" borderId="14" xfId="0" applyNumberFormat="1" applyFont="1" applyBorder="1" applyAlignment="1">
      <alignment horizontal="center" vertical="center" wrapText="1"/>
    </xf>
    <xf numFmtId="0" fontId="20" fillId="4" borderId="26" xfId="0" applyFont="1" applyFill="1" applyBorder="1" applyAlignment="1">
      <alignment horizontal="center" vertical="center"/>
    </xf>
    <xf numFmtId="0" fontId="20" fillId="4" borderId="0" xfId="0" applyFont="1" applyFill="1" applyBorder="1" applyAlignment="1">
      <alignment horizontal="center" vertical="center"/>
    </xf>
    <xf numFmtId="0" fontId="20" fillId="4" borderId="27" xfId="0" applyFont="1" applyFill="1" applyBorder="1" applyAlignment="1">
      <alignment horizontal="center" vertical="center"/>
    </xf>
    <xf numFmtId="3" fontId="14" fillId="0" borderId="10" xfId="0" applyNumberFormat="1" applyFont="1" applyBorder="1" applyAlignment="1">
      <alignment horizontal="center" vertical="center" wrapText="1"/>
    </xf>
    <xf numFmtId="3" fontId="14" fillId="0" borderId="12" xfId="0" applyNumberFormat="1" applyFont="1" applyBorder="1" applyAlignment="1">
      <alignment horizontal="center" vertical="center" wrapText="1"/>
    </xf>
    <xf numFmtId="3" fontId="14" fillId="0" borderId="26" xfId="0" applyNumberFormat="1" applyFont="1" applyBorder="1" applyAlignment="1">
      <alignment horizontal="center" vertical="center" wrapText="1"/>
    </xf>
    <xf numFmtId="3" fontId="14" fillId="0" borderId="27" xfId="0" applyNumberFormat="1" applyFont="1" applyBorder="1" applyAlignment="1">
      <alignment horizontal="center" vertical="center" wrapText="1"/>
    </xf>
    <xf numFmtId="3" fontId="14" fillId="0" borderId="2" xfId="0" applyNumberFormat="1" applyFont="1" applyBorder="1" applyAlignment="1">
      <alignment horizontal="center" vertical="center" wrapText="1"/>
    </xf>
    <xf numFmtId="3" fontId="14" fillId="0" borderId="6" xfId="0" applyNumberFormat="1" applyFont="1" applyBorder="1" applyAlignment="1">
      <alignment horizontal="center" vertical="center" wrapText="1"/>
    </xf>
    <xf numFmtId="0" fontId="13" fillId="0" borderId="7" xfId="0" applyFont="1" applyFill="1" applyBorder="1" applyAlignment="1">
      <alignment horizontal="left" vertical="center" wrapText="1"/>
    </xf>
    <xf numFmtId="0" fontId="22" fillId="0" borderId="8" xfId="0" applyFont="1" applyFill="1" applyBorder="1" applyAlignment="1">
      <alignment horizontal="left" vertical="center" wrapText="1"/>
    </xf>
    <xf numFmtId="0" fontId="22" fillId="0" borderId="9" xfId="0" applyFont="1" applyFill="1" applyBorder="1" applyAlignment="1">
      <alignment horizontal="left" vertical="center" wrapText="1"/>
    </xf>
    <xf numFmtId="0" fontId="13" fillId="0" borderId="8" xfId="0" applyFont="1" applyFill="1" applyBorder="1" applyAlignment="1">
      <alignment horizontal="left" vertical="center"/>
    </xf>
    <xf numFmtId="0" fontId="22" fillId="0" borderId="8" xfId="0" applyFont="1" applyFill="1" applyBorder="1" applyAlignment="1">
      <alignment horizontal="left" vertical="center"/>
    </xf>
    <xf numFmtId="0" fontId="22" fillId="0" borderId="9" xfId="0" applyFont="1" applyFill="1" applyBorder="1" applyAlignment="1">
      <alignment horizontal="left" vertical="center"/>
    </xf>
    <xf numFmtId="0" fontId="13" fillId="0" borderId="14" xfId="0" applyFont="1" applyBorder="1" applyAlignment="1">
      <alignment vertical="center"/>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22" fillId="0" borderId="7" xfId="0" applyFont="1" applyFill="1" applyBorder="1" applyAlignment="1">
      <alignment horizontal="left" vertical="center" wrapText="1"/>
    </xf>
    <xf numFmtId="0" fontId="20" fillId="5" borderId="24" xfId="0" applyFont="1" applyFill="1" applyBorder="1" applyAlignment="1">
      <alignment horizontal="center" vertical="center"/>
    </xf>
    <xf numFmtId="0" fontId="20" fillId="5" borderId="29" xfId="0" applyFont="1" applyFill="1" applyBorder="1" applyAlignment="1">
      <alignment horizontal="center" vertical="center"/>
    </xf>
    <xf numFmtId="0" fontId="20" fillId="5" borderId="25" xfId="0" applyFont="1" applyFill="1" applyBorder="1" applyAlignment="1">
      <alignment horizontal="center" vertical="center"/>
    </xf>
    <xf numFmtId="0" fontId="13" fillId="0" borderId="21" xfId="0" applyFont="1" applyBorder="1" applyAlignment="1">
      <alignment horizontal="left" vertical="center"/>
    </xf>
    <xf numFmtId="0" fontId="13" fillId="0" borderId="22" xfId="0" applyFont="1" applyBorder="1" applyAlignment="1">
      <alignment horizontal="left" vertical="center"/>
    </xf>
    <xf numFmtId="0" fontId="13" fillId="0" borderId="23" xfId="0" applyFont="1" applyBorder="1" applyAlignment="1">
      <alignment horizontal="left" vertical="center"/>
    </xf>
    <xf numFmtId="0" fontId="13" fillId="0" borderId="17"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vertical="center"/>
    </xf>
    <xf numFmtId="3" fontId="21" fillId="0" borderId="14" xfId="0" applyNumberFormat="1" applyFont="1" applyBorder="1" applyAlignment="1">
      <alignment horizontal="center" vertical="center" wrapText="1"/>
    </xf>
    <xf numFmtId="0" fontId="13" fillId="0" borderId="14" xfId="0" applyFont="1" applyBorder="1" applyAlignment="1">
      <alignment vertical="center" wrapText="1"/>
    </xf>
    <xf numFmtId="0" fontId="13" fillId="0" borderId="20" xfId="0" applyFont="1" applyBorder="1" applyAlignment="1">
      <alignment vertical="center"/>
    </xf>
    <xf numFmtId="0" fontId="13" fillId="0" borderId="17" xfId="0" applyFont="1" applyBorder="1" applyAlignment="1">
      <alignment horizontal="left" vertical="center" wrapText="1"/>
    </xf>
    <xf numFmtId="0" fontId="13" fillId="0" borderId="18" xfId="0" applyFont="1" applyBorder="1" applyAlignment="1">
      <alignment horizontal="left" vertical="center" wrapText="1"/>
    </xf>
    <xf numFmtId="0" fontId="13" fillId="0" borderId="19" xfId="0" applyFont="1" applyBorder="1" applyAlignment="1">
      <alignment horizontal="left" vertical="center" wrapText="1"/>
    </xf>
    <xf numFmtId="0" fontId="7" fillId="4" borderId="17" xfId="0" applyFont="1" applyFill="1" applyBorder="1" applyAlignment="1">
      <alignment horizontal="left" vertical="center"/>
    </xf>
    <xf numFmtId="0" fontId="7" fillId="4" borderId="18" xfId="0" applyFont="1" applyFill="1" applyBorder="1" applyAlignment="1">
      <alignment horizontal="left" vertical="center"/>
    </xf>
    <xf numFmtId="0" fontId="7" fillId="4" borderId="19" xfId="0" applyFont="1" applyFill="1" applyBorder="1" applyAlignment="1">
      <alignment horizontal="left" vertical="center"/>
    </xf>
    <xf numFmtId="0" fontId="13" fillId="4" borderId="14" xfId="0" applyFont="1" applyFill="1" applyBorder="1" applyAlignment="1">
      <alignment vertical="center"/>
    </xf>
    <xf numFmtId="0" fontId="13" fillId="4" borderId="14" xfId="0" applyFont="1" applyFill="1" applyBorder="1" applyAlignment="1">
      <alignment vertical="center" wrapText="1"/>
    </xf>
    <xf numFmtId="3" fontId="5" fillId="4" borderId="17" xfId="0" applyNumberFormat="1" applyFont="1" applyFill="1" applyBorder="1" applyAlignment="1">
      <alignment horizontal="center" vertical="center" wrapText="1"/>
    </xf>
    <xf numFmtId="3" fontId="5" fillId="4" borderId="19" xfId="0" applyNumberFormat="1" applyFont="1" applyFill="1" applyBorder="1" applyAlignment="1">
      <alignment horizontal="center" vertical="center" wrapText="1"/>
    </xf>
    <xf numFmtId="0" fontId="10" fillId="0" borderId="4" xfId="3" applyFont="1" applyBorder="1" applyAlignment="1">
      <alignment horizontal="center" vertical="center" wrapText="1"/>
    </xf>
    <xf numFmtId="0" fontId="15" fillId="0" borderId="4" xfId="4" applyFont="1" applyBorder="1" applyAlignment="1">
      <alignment horizontal="center" vertical="center" wrapText="1"/>
    </xf>
    <xf numFmtId="166" fontId="15" fillId="0" borderId="4" xfId="4" applyNumberFormat="1" applyFont="1" applyBorder="1" applyAlignment="1">
      <alignment horizontal="center" vertical="center" wrapText="1"/>
    </xf>
    <xf numFmtId="0" fontId="11" fillId="0" borderId="4" xfId="4" applyFont="1" applyBorder="1" applyAlignment="1">
      <alignment horizontal="center" vertical="center"/>
    </xf>
    <xf numFmtId="0" fontId="12" fillId="0" borderId="4" xfId="4" applyFont="1" applyBorder="1" applyAlignment="1">
      <alignment horizontal="center" vertical="center" wrapText="1"/>
    </xf>
    <xf numFmtId="14" fontId="12" fillId="0" borderId="7" xfId="4" applyNumberFormat="1" applyFont="1" applyBorder="1" applyAlignment="1">
      <alignment horizontal="center" vertical="center" wrapText="1"/>
    </xf>
    <xf numFmtId="14" fontId="12" fillId="0" borderId="9" xfId="4" applyNumberFormat="1" applyFont="1" applyBorder="1" applyAlignment="1">
      <alignment horizontal="center" vertical="center" wrapText="1"/>
    </xf>
    <xf numFmtId="0" fontId="12" fillId="0" borderId="4" xfId="4" applyFont="1" applyBorder="1" applyAlignment="1" applyProtection="1">
      <alignment horizontal="center" vertical="center"/>
      <protection locked="0"/>
    </xf>
    <xf numFmtId="3" fontId="12" fillId="0" borderId="7" xfId="3" applyNumberFormat="1" applyFont="1" applyBorder="1" applyAlignment="1">
      <alignment horizontal="center" vertical="center"/>
    </xf>
    <xf numFmtId="3" fontId="12" fillId="0" borderId="9" xfId="3" applyNumberFormat="1" applyFont="1" applyBorder="1" applyAlignment="1">
      <alignment horizontal="center" vertical="center"/>
    </xf>
    <xf numFmtId="0" fontId="12" fillId="0" borderId="4" xfId="4" quotePrefix="1" applyFont="1" applyBorder="1" applyAlignment="1">
      <alignment horizontal="center" vertical="center"/>
    </xf>
    <xf numFmtId="0" fontId="12" fillId="0" borderId="4" xfId="4" applyFont="1" applyBorder="1" applyAlignment="1">
      <alignment horizontal="center" vertical="center"/>
    </xf>
    <xf numFmtId="0" fontId="12" fillId="0" borderId="7" xfId="4" applyFont="1" applyBorder="1" applyAlignment="1" applyProtection="1">
      <alignment horizontal="center" vertical="center" wrapText="1"/>
      <protection locked="0"/>
    </xf>
    <xf numFmtId="0" fontId="12" fillId="0" borderId="9" xfId="4" applyFont="1" applyBorder="1" applyAlignment="1" applyProtection="1">
      <alignment horizontal="center" vertical="center" wrapText="1"/>
      <protection locked="0"/>
    </xf>
    <xf numFmtId="0" fontId="8" fillId="6" borderId="17" xfId="0" applyFont="1" applyFill="1" applyBorder="1" applyAlignment="1">
      <alignment horizontal="center" vertical="center"/>
    </xf>
    <xf numFmtId="0" fontId="8" fillId="6" borderId="18" xfId="0" applyFont="1" applyFill="1" applyBorder="1" applyAlignment="1">
      <alignment horizontal="center" vertical="center"/>
    </xf>
    <xf numFmtId="0" fontId="8" fillId="6" borderId="19" xfId="0" applyFont="1" applyFill="1" applyBorder="1" applyAlignment="1">
      <alignment horizontal="center" vertical="center"/>
    </xf>
    <xf numFmtId="3" fontId="14" fillId="0" borderId="1" xfId="0" applyNumberFormat="1" applyFont="1" applyBorder="1" applyAlignment="1">
      <alignment horizontal="center" vertical="center" wrapText="1"/>
    </xf>
    <xf numFmtId="3" fontId="14" fillId="0" borderId="28" xfId="0" applyNumberFormat="1" applyFont="1" applyBorder="1" applyAlignment="1">
      <alignment horizontal="center" vertical="center" wrapText="1"/>
    </xf>
    <xf numFmtId="3" fontId="14" fillId="0" borderId="16" xfId="0" applyNumberFormat="1" applyFont="1" applyBorder="1" applyAlignment="1">
      <alignment horizontal="center" vertical="center" wrapText="1"/>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0" fontId="7" fillId="0" borderId="14" xfId="0" applyFont="1" applyBorder="1" applyAlignment="1">
      <alignment horizontal="left" vertical="center"/>
    </xf>
    <xf numFmtId="3" fontId="5" fillId="0" borderId="14" xfId="0" applyNumberFormat="1" applyFont="1" applyBorder="1" applyAlignment="1">
      <alignment horizontal="center" vertical="center" wrapText="1"/>
    </xf>
    <xf numFmtId="0" fontId="7" fillId="0" borderId="14" xfId="0" applyFont="1" applyBorder="1" applyAlignment="1">
      <alignment vertical="center"/>
    </xf>
    <xf numFmtId="3" fontId="14" fillId="4" borderId="14" xfId="0" applyNumberFormat="1" applyFont="1" applyFill="1" applyBorder="1" applyAlignment="1">
      <alignment horizontal="center" vertical="center" wrapText="1"/>
    </xf>
    <xf numFmtId="3" fontId="14" fillId="4" borderId="17" xfId="0" applyNumberFormat="1" applyFont="1" applyFill="1" applyBorder="1" applyAlignment="1">
      <alignment horizontal="center" vertical="center" wrapText="1"/>
    </xf>
    <xf numFmtId="3" fontId="14" fillId="4" borderId="19" xfId="0" applyNumberFormat="1" applyFont="1" applyFill="1" applyBorder="1" applyAlignment="1">
      <alignment horizontal="center" vertical="center" wrapText="1"/>
    </xf>
    <xf numFmtId="0" fontId="3" fillId="2" borderId="1" xfId="0" applyFont="1" applyFill="1" applyBorder="1" applyAlignment="1">
      <alignment horizontal="center" wrapText="1"/>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2" borderId="0" xfId="0" applyFont="1" applyFill="1" applyAlignment="1">
      <alignment horizontal="center" vertical="center"/>
    </xf>
    <xf numFmtId="0" fontId="5" fillId="2" borderId="0" xfId="0" applyFont="1" applyFill="1" applyAlignment="1">
      <alignment horizontal="right" vertical="center"/>
    </xf>
    <xf numFmtId="164" fontId="1" fillId="2" borderId="0" xfId="0" applyNumberFormat="1" applyFont="1" applyFill="1" applyAlignment="1">
      <alignment horizontal="center"/>
    </xf>
    <xf numFmtId="0" fontId="2" fillId="2" borderId="0" xfId="0" applyFont="1" applyFill="1" applyAlignment="1">
      <alignment horizontal="center" vertical="top" wrapText="1"/>
    </xf>
    <xf numFmtId="0" fontId="4" fillId="2" borderId="0" xfId="0" applyFont="1" applyFill="1" applyAlignment="1">
      <alignment horizontal="center" vertical="center"/>
    </xf>
    <xf numFmtId="164" fontId="1" fillId="2" borderId="3" xfId="0" applyNumberFormat="1" applyFont="1" applyFill="1" applyBorder="1" applyAlignment="1">
      <alignment horizontal="center"/>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right" vertical="top"/>
    </xf>
    <xf numFmtId="0" fontId="6" fillId="0" borderId="0" xfId="0" applyFont="1" applyAlignment="1">
      <alignment horizontal="center" vertical="top"/>
    </xf>
    <xf numFmtId="0" fontId="6" fillId="0" borderId="1" xfId="0" applyFont="1" applyBorder="1" applyAlignment="1">
      <alignment horizontal="center" vertical="center"/>
    </xf>
    <xf numFmtId="0" fontId="6" fillId="0" borderId="5" xfId="0" applyFont="1" applyBorder="1" applyAlignment="1">
      <alignment horizontal="center"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cellXfs>
  <cellStyles count="6">
    <cellStyle name="Comma 2" xfId="1"/>
    <cellStyle name="Normal" xfId="0" builtinId="0"/>
    <cellStyle name="Normal - Style1" xfId="2"/>
    <cellStyle name="Normal 2" xfId="3"/>
    <cellStyle name="Normal 2 3" xfId="4"/>
    <cellStyle name="Normal 3 2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114299</xdr:colOff>
      <xdr:row>0</xdr:row>
      <xdr:rowOff>57149</xdr:rowOff>
    </xdr:from>
    <xdr:to>
      <xdr:col>3</xdr:col>
      <xdr:colOff>1456945</xdr:colOff>
      <xdr:row>1</xdr:row>
      <xdr:rowOff>495299</xdr:rowOff>
    </xdr:to>
    <xdr:pic>
      <xdr:nvPicPr>
        <xdr:cNvPr id="2" name="Picture 1">
          <a:extLst>
            <a:ext uri="{FF2B5EF4-FFF2-40B4-BE49-F238E27FC236}">
              <a16:creationId xmlns:a16="http://schemas.microsoft.com/office/drawing/2014/main" xmlns="" id="{A29E6DB6-0C4E-452C-ADC9-B4112F0308C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4" y="57149"/>
          <a:ext cx="2133221"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0</xdr:row>
      <xdr:rowOff>107950</xdr:rowOff>
    </xdr:from>
    <xdr:to>
      <xdr:col>1</xdr:col>
      <xdr:colOff>529590</xdr:colOff>
      <xdr:row>5</xdr:row>
      <xdr:rowOff>77607</xdr:rowOff>
    </xdr:to>
    <xdr:pic>
      <xdr:nvPicPr>
        <xdr:cNvPr id="4" name="Picture 63">
          <a:extLst>
            <a:ext uri="{FF2B5EF4-FFF2-40B4-BE49-F238E27FC236}">
              <a16:creationId xmlns:a16="http://schemas.microsoft.com/office/drawing/2014/main" xmlns="" id="{00000000-0008-0000-0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350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107950</xdr:rowOff>
    </xdr:from>
    <xdr:to>
      <xdr:col>1</xdr:col>
      <xdr:colOff>466090</xdr:colOff>
      <xdr:row>5</xdr:row>
      <xdr:rowOff>77607</xdr:rowOff>
    </xdr:to>
    <xdr:pic>
      <xdr:nvPicPr>
        <xdr:cNvPr id="4" name="Picture 63">
          <a:extLst>
            <a:ext uri="{FF2B5EF4-FFF2-40B4-BE49-F238E27FC236}">
              <a16:creationId xmlns:a16="http://schemas.microsoft.com/office/drawing/2014/main" xmlns="" id="{00000000-0008-0000-05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107950"/>
          <a:ext cx="769620" cy="741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NAM%202019\BAO%20GIA\THANG%209\C&#212;NG%20VI&#7878;C\CK%20N&#218;I%20TH&#192;NH\C%20T&#205;NH%20KH&#7888;I%20L&#431;&#7906;NG\FILE%20B&#193;O%20GI&#193;%20M&#7850;U\Calculation%20material%20tank%20100L(Hoa%20Keo)%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0L"/>
      <sheetName val="he so gia"/>
    </sheetNames>
    <sheetDataSet>
      <sheetData sheetId="0">
        <row r="3">
          <cell r="D3">
            <v>1.1299999999999999</v>
          </cell>
        </row>
      </sheetData>
      <sheetData sheetId="1" refreshError="1">
        <row r="3">
          <cell r="D3">
            <v>1.1299999999999999</v>
          </cell>
        </row>
        <row r="20">
          <cell r="D20">
            <v>100000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applyStyles="1" summaryBelow="0" summaryRight="0"/>
  </sheetPr>
  <dimension ref="A1:X79"/>
  <sheetViews>
    <sheetView showGridLines="0" tabSelected="1" topLeftCell="A10" zoomScale="90" zoomScaleNormal="90" workbookViewId="0">
      <selection activeCell="M21" sqref="M21:N21"/>
    </sheetView>
  </sheetViews>
  <sheetFormatPr defaultColWidth="9" defaultRowHeight="15.75"/>
  <cols>
    <col min="1" max="1" width="5.5703125" style="14" customWidth="1"/>
    <col min="2" max="2" width="24.28515625" style="14" customWidth="1"/>
    <col min="3" max="3" width="11.85546875" style="15" customWidth="1"/>
    <col min="4" max="4" width="30.140625" style="15" customWidth="1"/>
    <col min="5" max="5" width="7.140625" style="15" customWidth="1"/>
    <col min="6" max="6" width="10.28515625" style="15" customWidth="1"/>
    <col min="7" max="7" width="10.140625" style="15" customWidth="1"/>
    <col min="8" max="8" width="9.28515625" style="14" customWidth="1"/>
    <col min="9" max="10" width="10.5703125" style="14" customWidth="1"/>
    <col min="11" max="11" width="8.28515625" style="14" customWidth="1"/>
    <col min="12" max="12" width="9.85546875" style="14" hidden="1" customWidth="1"/>
    <col min="13" max="13" width="10.85546875" style="14" customWidth="1"/>
    <col min="14" max="14" width="23.85546875" style="14" customWidth="1"/>
    <col min="15" max="15" width="18.42578125" style="14" customWidth="1"/>
    <col min="16" max="18" width="9" style="14"/>
    <col min="19" max="19" width="11.140625" style="14" customWidth="1"/>
    <col min="20" max="22" width="9" style="14"/>
    <col min="23" max="24" width="0" style="14" hidden="1" customWidth="1"/>
    <col min="25" max="232" width="9" style="14"/>
    <col min="233" max="233" width="4.85546875" style="14" customWidth="1"/>
    <col min="234" max="234" width="11.140625" style="14" customWidth="1"/>
    <col min="235" max="235" width="25.140625" style="14" customWidth="1"/>
    <col min="236" max="236" width="13.5703125" style="14" customWidth="1"/>
    <col min="237" max="237" width="15.42578125" style="14" customWidth="1"/>
    <col min="238" max="238" width="20.85546875" style="14" customWidth="1"/>
    <col min="239" max="239" width="24.140625" style="14" customWidth="1"/>
    <col min="240" max="240" width="27.85546875" style="14" customWidth="1"/>
    <col min="241" max="241" width="12" style="14" customWidth="1"/>
    <col min="242" max="242" width="15" style="14" customWidth="1"/>
    <col min="243" max="488" width="9" style="14"/>
    <col min="489" max="489" width="4.85546875" style="14" customWidth="1"/>
    <col min="490" max="490" width="11.140625" style="14" customWidth="1"/>
    <col min="491" max="491" width="25.140625" style="14" customWidth="1"/>
    <col min="492" max="492" width="13.5703125" style="14" customWidth="1"/>
    <col min="493" max="493" width="15.42578125" style="14" customWidth="1"/>
    <col min="494" max="494" width="20.85546875" style="14" customWidth="1"/>
    <col min="495" max="495" width="24.140625" style="14" customWidth="1"/>
    <col min="496" max="496" width="27.85546875" style="14" customWidth="1"/>
    <col min="497" max="497" width="12" style="14" customWidth="1"/>
    <col min="498" max="498" width="15" style="14" customWidth="1"/>
    <col min="499" max="744" width="9" style="14"/>
    <col min="745" max="745" width="4.85546875" style="14" customWidth="1"/>
    <col min="746" max="746" width="11.140625" style="14" customWidth="1"/>
    <col min="747" max="747" width="25.140625" style="14" customWidth="1"/>
    <col min="748" max="748" width="13.5703125" style="14" customWidth="1"/>
    <col min="749" max="749" width="15.42578125" style="14" customWidth="1"/>
    <col min="750" max="750" width="20.85546875" style="14" customWidth="1"/>
    <col min="751" max="751" width="24.140625" style="14" customWidth="1"/>
    <col min="752" max="752" width="27.85546875" style="14" customWidth="1"/>
    <col min="753" max="753" width="12" style="14" customWidth="1"/>
    <col min="754" max="754" width="15" style="14" customWidth="1"/>
    <col min="755" max="1000" width="9" style="14"/>
    <col min="1001" max="1001" width="4.85546875" style="14" customWidth="1"/>
    <col min="1002" max="1002" width="11.140625" style="14" customWidth="1"/>
    <col min="1003" max="1003" width="25.140625" style="14" customWidth="1"/>
    <col min="1004" max="1004" width="13.5703125" style="14" customWidth="1"/>
    <col min="1005" max="1005" width="15.42578125" style="14" customWidth="1"/>
    <col min="1006" max="1006" width="20.85546875" style="14" customWidth="1"/>
    <col min="1007" max="1007" width="24.140625" style="14" customWidth="1"/>
    <col min="1008" max="1008" width="27.85546875" style="14" customWidth="1"/>
    <col min="1009" max="1009" width="12" style="14" customWidth="1"/>
    <col min="1010" max="1010" width="15" style="14" customWidth="1"/>
    <col min="1011" max="1256" width="9" style="14"/>
    <col min="1257" max="1257" width="4.85546875" style="14" customWidth="1"/>
    <col min="1258" max="1258" width="11.140625" style="14" customWidth="1"/>
    <col min="1259" max="1259" width="25.140625" style="14" customWidth="1"/>
    <col min="1260" max="1260" width="13.5703125" style="14" customWidth="1"/>
    <col min="1261" max="1261" width="15.42578125" style="14" customWidth="1"/>
    <col min="1262" max="1262" width="20.85546875" style="14" customWidth="1"/>
    <col min="1263" max="1263" width="24.140625" style="14" customWidth="1"/>
    <col min="1264" max="1264" width="27.85546875" style="14" customWidth="1"/>
    <col min="1265" max="1265" width="12" style="14" customWidth="1"/>
    <col min="1266" max="1266" width="15" style="14" customWidth="1"/>
    <col min="1267" max="1512" width="9" style="14"/>
    <col min="1513" max="1513" width="4.85546875" style="14" customWidth="1"/>
    <col min="1514" max="1514" width="11.140625" style="14" customWidth="1"/>
    <col min="1515" max="1515" width="25.140625" style="14" customWidth="1"/>
    <col min="1516" max="1516" width="13.5703125" style="14" customWidth="1"/>
    <col min="1517" max="1517" width="15.42578125" style="14" customWidth="1"/>
    <col min="1518" max="1518" width="20.85546875" style="14" customWidth="1"/>
    <col min="1519" max="1519" width="24.140625" style="14" customWidth="1"/>
    <col min="1520" max="1520" width="27.85546875" style="14" customWidth="1"/>
    <col min="1521" max="1521" width="12" style="14" customWidth="1"/>
    <col min="1522" max="1522" width="15" style="14" customWidth="1"/>
    <col min="1523" max="1768" width="9" style="14"/>
    <col min="1769" max="1769" width="4.85546875" style="14" customWidth="1"/>
    <col min="1770" max="1770" width="11.140625" style="14" customWidth="1"/>
    <col min="1771" max="1771" width="25.140625" style="14" customWidth="1"/>
    <col min="1772" max="1772" width="13.5703125" style="14" customWidth="1"/>
    <col min="1773" max="1773" width="15.42578125" style="14" customWidth="1"/>
    <col min="1774" max="1774" width="20.85546875" style="14" customWidth="1"/>
    <col min="1775" max="1775" width="24.140625" style="14" customWidth="1"/>
    <col min="1776" max="1776" width="27.85546875" style="14" customWidth="1"/>
    <col min="1777" max="1777" width="12" style="14" customWidth="1"/>
    <col min="1778" max="1778" width="15" style="14" customWidth="1"/>
    <col min="1779" max="2024" width="9" style="14"/>
    <col min="2025" max="2025" width="4.85546875" style="14" customWidth="1"/>
    <col min="2026" max="2026" width="11.140625" style="14" customWidth="1"/>
    <col min="2027" max="2027" width="25.140625" style="14" customWidth="1"/>
    <col min="2028" max="2028" width="13.5703125" style="14" customWidth="1"/>
    <col min="2029" max="2029" width="15.42578125" style="14" customWidth="1"/>
    <col min="2030" max="2030" width="20.85546875" style="14" customWidth="1"/>
    <col min="2031" max="2031" width="24.140625" style="14" customWidth="1"/>
    <col min="2032" max="2032" width="27.85546875" style="14" customWidth="1"/>
    <col min="2033" max="2033" width="12" style="14" customWidth="1"/>
    <col min="2034" max="2034" width="15" style="14" customWidth="1"/>
    <col min="2035" max="2280" width="9" style="14"/>
    <col min="2281" max="2281" width="4.85546875" style="14" customWidth="1"/>
    <col min="2282" max="2282" width="11.140625" style="14" customWidth="1"/>
    <col min="2283" max="2283" width="25.140625" style="14" customWidth="1"/>
    <col min="2284" max="2284" width="13.5703125" style="14" customWidth="1"/>
    <col min="2285" max="2285" width="15.42578125" style="14" customWidth="1"/>
    <col min="2286" max="2286" width="20.85546875" style="14" customWidth="1"/>
    <col min="2287" max="2287" width="24.140625" style="14" customWidth="1"/>
    <col min="2288" max="2288" width="27.85546875" style="14" customWidth="1"/>
    <col min="2289" max="2289" width="12" style="14" customWidth="1"/>
    <col min="2290" max="2290" width="15" style="14" customWidth="1"/>
    <col min="2291" max="2536" width="9" style="14"/>
    <col min="2537" max="2537" width="4.85546875" style="14" customWidth="1"/>
    <col min="2538" max="2538" width="11.140625" style="14" customWidth="1"/>
    <col min="2539" max="2539" width="25.140625" style="14" customWidth="1"/>
    <col min="2540" max="2540" width="13.5703125" style="14" customWidth="1"/>
    <col min="2541" max="2541" width="15.42578125" style="14" customWidth="1"/>
    <col min="2542" max="2542" width="20.85546875" style="14" customWidth="1"/>
    <col min="2543" max="2543" width="24.140625" style="14" customWidth="1"/>
    <col min="2544" max="2544" width="27.85546875" style="14" customWidth="1"/>
    <col min="2545" max="2545" width="12" style="14" customWidth="1"/>
    <col min="2546" max="2546" width="15" style="14" customWidth="1"/>
    <col min="2547" max="2792" width="9" style="14"/>
    <col min="2793" max="2793" width="4.85546875" style="14" customWidth="1"/>
    <col min="2794" max="2794" width="11.140625" style="14" customWidth="1"/>
    <col min="2795" max="2795" width="25.140625" style="14" customWidth="1"/>
    <col min="2796" max="2796" width="13.5703125" style="14" customWidth="1"/>
    <col min="2797" max="2797" width="15.42578125" style="14" customWidth="1"/>
    <col min="2798" max="2798" width="20.85546875" style="14" customWidth="1"/>
    <col min="2799" max="2799" width="24.140625" style="14" customWidth="1"/>
    <col min="2800" max="2800" width="27.85546875" style="14" customWidth="1"/>
    <col min="2801" max="2801" width="12" style="14" customWidth="1"/>
    <col min="2802" max="2802" width="15" style="14" customWidth="1"/>
    <col min="2803" max="3048" width="9" style="14"/>
    <col min="3049" max="3049" width="4.85546875" style="14" customWidth="1"/>
    <col min="3050" max="3050" width="11.140625" style="14" customWidth="1"/>
    <col min="3051" max="3051" width="25.140625" style="14" customWidth="1"/>
    <col min="3052" max="3052" width="13.5703125" style="14" customWidth="1"/>
    <col min="3053" max="3053" width="15.42578125" style="14" customWidth="1"/>
    <col min="3054" max="3054" width="20.85546875" style="14" customWidth="1"/>
    <col min="3055" max="3055" width="24.140625" style="14" customWidth="1"/>
    <col min="3056" max="3056" width="27.85546875" style="14" customWidth="1"/>
    <col min="3057" max="3057" width="12" style="14" customWidth="1"/>
    <col min="3058" max="3058" width="15" style="14" customWidth="1"/>
    <col min="3059" max="3304" width="9" style="14"/>
    <col min="3305" max="3305" width="4.85546875" style="14" customWidth="1"/>
    <col min="3306" max="3306" width="11.140625" style="14" customWidth="1"/>
    <col min="3307" max="3307" width="25.140625" style="14" customWidth="1"/>
    <col min="3308" max="3308" width="13.5703125" style="14" customWidth="1"/>
    <col min="3309" max="3309" width="15.42578125" style="14" customWidth="1"/>
    <col min="3310" max="3310" width="20.85546875" style="14" customWidth="1"/>
    <col min="3311" max="3311" width="24.140625" style="14" customWidth="1"/>
    <col min="3312" max="3312" width="27.85546875" style="14" customWidth="1"/>
    <col min="3313" max="3313" width="12" style="14" customWidth="1"/>
    <col min="3314" max="3314" width="15" style="14" customWidth="1"/>
    <col min="3315" max="3560" width="9" style="14"/>
    <col min="3561" max="3561" width="4.85546875" style="14" customWidth="1"/>
    <col min="3562" max="3562" width="11.140625" style="14" customWidth="1"/>
    <col min="3563" max="3563" width="25.140625" style="14" customWidth="1"/>
    <col min="3564" max="3564" width="13.5703125" style="14" customWidth="1"/>
    <col min="3565" max="3565" width="15.42578125" style="14" customWidth="1"/>
    <col min="3566" max="3566" width="20.85546875" style="14" customWidth="1"/>
    <col min="3567" max="3567" width="24.140625" style="14" customWidth="1"/>
    <col min="3568" max="3568" width="27.85546875" style="14" customWidth="1"/>
    <col min="3569" max="3569" width="12" style="14" customWidth="1"/>
    <col min="3570" max="3570" width="15" style="14" customWidth="1"/>
    <col min="3571" max="3816" width="9" style="14"/>
    <col min="3817" max="3817" width="4.85546875" style="14" customWidth="1"/>
    <col min="3818" max="3818" width="11.140625" style="14" customWidth="1"/>
    <col min="3819" max="3819" width="25.140625" style="14" customWidth="1"/>
    <col min="3820" max="3820" width="13.5703125" style="14" customWidth="1"/>
    <col min="3821" max="3821" width="15.42578125" style="14" customWidth="1"/>
    <col min="3822" max="3822" width="20.85546875" style="14" customWidth="1"/>
    <col min="3823" max="3823" width="24.140625" style="14" customWidth="1"/>
    <col min="3824" max="3824" width="27.85546875" style="14" customWidth="1"/>
    <col min="3825" max="3825" width="12" style="14" customWidth="1"/>
    <col min="3826" max="3826" width="15" style="14" customWidth="1"/>
    <col min="3827" max="4072" width="9" style="14"/>
    <col min="4073" max="4073" width="4.85546875" style="14" customWidth="1"/>
    <col min="4074" max="4074" width="11.140625" style="14" customWidth="1"/>
    <col min="4075" max="4075" width="25.140625" style="14" customWidth="1"/>
    <col min="4076" max="4076" width="13.5703125" style="14" customWidth="1"/>
    <col min="4077" max="4077" width="15.42578125" style="14" customWidth="1"/>
    <col min="4078" max="4078" width="20.85546875" style="14" customWidth="1"/>
    <col min="4079" max="4079" width="24.140625" style="14" customWidth="1"/>
    <col min="4080" max="4080" width="27.85546875" style="14" customWidth="1"/>
    <col min="4081" max="4081" width="12" style="14" customWidth="1"/>
    <col min="4082" max="4082" width="15" style="14" customWidth="1"/>
    <col min="4083" max="4328" width="9" style="14"/>
    <col min="4329" max="4329" width="4.85546875" style="14" customWidth="1"/>
    <col min="4330" max="4330" width="11.140625" style="14" customWidth="1"/>
    <col min="4331" max="4331" width="25.140625" style="14" customWidth="1"/>
    <col min="4332" max="4332" width="13.5703125" style="14" customWidth="1"/>
    <col min="4333" max="4333" width="15.42578125" style="14" customWidth="1"/>
    <col min="4334" max="4334" width="20.85546875" style="14" customWidth="1"/>
    <col min="4335" max="4335" width="24.140625" style="14" customWidth="1"/>
    <col min="4336" max="4336" width="27.85546875" style="14" customWidth="1"/>
    <col min="4337" max="4337" width="12" style="14" customWidth="1"/>
    <col min="4338" max="4338" width="15" style="14" customWidth="1"/>
    <col min="4339" max="4584" width="9" style="14"/>
    <col min="4585" max="4585" width="4.85546875" style="14" customWidth="1"/>
    <col min="4586" max="4586" width="11.140625" style="14" customWidth="1"/>
    <col min="4587" max="4587" width="25.140625" style="14" customWidth="1"/>
    <col min="4588" max="4588" width="13.5703125" style="14" customWidth="1"/>
    <col min="4589" max="4589" width="15.42578125" style="14" customWidth="1"/>
    <col min="4590" max="4590" width="20.85546875" style="14" customWidth="1"/>
    <col min="4591" max="4591" width="24.140625" style="14" customWidth="1"/>
    <col min="4592" max="4592" width="27.85546875" style="14" customWidth="1"/>
    <col min="4593" max="4593" width="12" style="14" customWidth="1"/>
    <col min="4594" max="4594" width="15" style="14" customWidth="1"/>
    <col min="4595" max="4840" width="9" style="14"/>
    <col min="4841" max="4841" width="4.85546875" style="14" customWidth="1"/>
    <col min="4842" max="4842" width="11.140625" style="14" customWidth="1"/>
    <col min="4843" max="4843" width="25.140625" style="14" customWidth="1"/>
    <col min="4844" max="4844" width="13.5703125" style="14" customWidth="1"/>
    <col min="4845" max="4845" width="15.42578125" style="14" customWidth="1"/>
    <col min="4846" max="4846" width="20.85546875" style="14" customWidth="1"/>
    <col min="4847" max="4847" width="24.140625" style="14" customWidth="1"/>
    <col min="4848" max="4848" width="27.85546875" style="14" customWidth="1"/>
    <col min="4849" max="4849" width="12" style="14" customWidth="1"/>
    <col min="4850" max="4850" width="15" style="14" customWidth="1"/>
    <col min="4851" max="5096" width="9" style="14"/>
    <col min="5097" max="5097" width="4.85546875" style="14" customWidth="1"/>
    <col min="5098" max="5098" width="11.140625" style="14" customWidth="1"/>
    <col min="5099" max="5099" width="25.140625" style="14" customWidth="1"/>
    <col min="5100" max="5100" width="13.5703125" style="14" customWidth="1"/>
    <col min="5101" max="5101" width="15.42578125" style="14" customWidth="1"/>
    <col min="5102" max="5102" width="20.85546875" style="14" customWidth="1"/>
    <col min="5103" max="5103" width="24.140625" style="14" customWidth="1"/>
    <col min="5104" max="5104" width="27.85546875" style="14" customWidth="1"/>
    <col min="5105" max="5105" width="12" style="14" customWidth="1"/>
    <col min="5106" max="5106" width="15" style="14" customWidth="1"/>
    <col min="5107" max="5352" width="9" style="14"/>
    <col min="5353" max="5353" width="4.85546875" style="14" customWidth="1"/>
    <col min="5354" max="5354" width="11.140625" style="14" customWidth="1"/>
    <col min="5355" max="5355" width="25.140625" style="14" customWidth="1"/>
    <col min="5356" max="5356" width="13.5703125" style="14" customWidth="1"/>
    <col min="5357" max="5357" width="15.42578125" style="14" customWidth="1"/>
    <col min="5358" max="5358" width="20.85546875" style="14" customWidth="1"/>
    <col min="5359" max="5359" width="24.140625" style="14" customWidth="1"/>
    <col min="5360" max="5360" width="27.85546875" style="14" customWidth="1"/>
    <col min="5361" max="5361" width="12" style="14" customWidth="1"/>
    <col min="5362" max="5362" width="15" style="14" customWidth="1"/>
    <col min="5363" max="5608" width="9" style="14"/>
    <col min="5609" max="5609" width="4.85546875" style="14" customWidth="1"/>
    <col min="5610" max="5610" width="11.140625" style="14" customWidth="1"/>
    <col min="5611" max="5611" width="25.140625" style="14" customWidth="1"/>
    <col min="5612" max="5612" width="13.5703125" style="14" customWidth="1"/>
    <col min="5613" max="5613" width="15.42578125" style="14" customWidth="1"/>
    <col min="5614" max="5614" width="20.85546875" style="14" customWidth="1"/>
    <col min="5615" max="5615" width="24.140625" style="14" customWidth="1"/>
    <col min="5616" max="5616" width="27.85546875" style="14" customWidth="1"/>
    <col min="5617" max="5617" width="12" style="14" customWidth="1"/>
    <col min="5618" max="5618" width="15" style="14" customWidth="1"/>
    <col min="5619" max="5864" width="9" style="14"/>
    <col min="5865" max="5865" width="4.85546875" style="14" customWidth="1"/>
    <col min="5866" max="5866" width="11.140625" style="14" customWidth="1"/>
    <col min="5867" max="5867" width="25.140625" style="14" customWidth="1"/>
    <col min="5868" max="5868" width="13.5703125" style="14" customWidth="1"/>
    <col min="5869" max="5869" width="15.42578125" style="14" customWidth="1"/>
    <col min="5870" max="5870" width="20.85546875" style="14" customWidth="1"/>
    <col min="5871" max="5871" width="24.140625" style="14" customWidth="1"/>
    <col min="5872" max="5872" width="27.85546875" style="14" customWidth="1"/>
    <col min="5873" max="5873" width="12" style="14" customWidth="1"/>
    <col min="5874" max="5874" width="15" style="14" customWidth="1"/>
    <col min="5875" max="6120" width="9" style="14"/>
    <col min="6121" max="6121" width="4.85546875" style="14" customWidth="1"/>
    <col min="6122" max="6122" width="11.140625" style="14" customWidth="1"/>
    <col min="6123" max="6123" width="25.140625" style="14" customWidth="1"/>
    <col min="6124" max="6124" width="13.5703125" style="14" customWidth="1"/>
    <col min="6125" max="6125" width="15.42578125" style="14" customWidth="1"/>
    <col min="6126" max="6126" width="20.85546875" style="14" customWidth="1"/>
    <col min="6127" max="6127" width="24.140625" style="14" customWidth="1"/>
    <col min="6128" max="6128" width="27.85546875" style="14" customWidth="1"/>
    <col min="6129" max="6129" width="12" style="14" customWidth="1"/>
    <col min="6130" max="6130" width="15" style="14" customWidth="1"/>
    <col min="6131" max="6376" width="9" style="14"/>
    <col min="6377" max="6377" width="4.85546875" style="14" customWidth="1"/>
    <col min="6378" max="6378" width="11.140625" style="14" customWidth="1"/>
    <col min="6379" max="6379" width="25.140625" style="14" customWidth="1"/>
    <col min="6380" max="6380" width="13.5703125" style="14" customWidth="1"/>
    <col min="6381" max="6381" width="15.42578125" style="14" customWidth="1"/>
    <col min="6382" max="6382" width="20.85546875" style="14" customWidth="1"/>
    <col min="6383" max="6383" width="24.140625" style="14" customWidth="1"/>
    <col min="6384" max="6384" width="27.85546875" style="14" customWidth="1"/>
    <col min="6385" max="6385" width="12" style="14" customWidth="1"/>
    <col min="6386" max="6386" width="15" style="14" customWidth="1"/>
    <col min="6387" max="6632" width="9" style="14"/>
    <col min="6633" max="6633" width="4.85546875" style="14" customWidth="1"/>
    <col min="6634" max="6634" width="11.140625" style="14" customWidth="1"/>
    <col min="6635" max="6635" width="25.140625" style="14" customWidth="1"/>
    <col min="6636" max="6636" width="13.5703125" style="14" customWidth="1"/>
    <col min="6637" max="6637" width="15.42578125" style="14" customWidth="1"/>
    <col min="6638" max="6638" width="20.85546875" style="14" customWidth="1"/>
    <col min="6639" max="6639" width="24.140625" style="14" customWidth="1"/>
    <col min="6640" max="6640" width="27.85546875" style="14" customWidth="1"/>
    <col min="6641" max="6641" width="12" style="14" customWidth="1"/>
    <col min="6642" max="6642" width="15" style="14" customWidth="1"/>
    <col min="6643" max="6888" width="9" style="14"/>
    <col min="6889" max="6889" width="4.85546875" style="14" customWidth="1"/>
    <col min="6890" max="6890" width="11.140625" style="14" customWidth="1"/>
    <col min="6891" max="6891" width="25.140625" style="14" customWidth="1"/>
    <col min="6892" max="6892" width="13.5703125" style="14" customWidth="1"/>
    <col min="6893" max="6893" width="15.42578125" style="14" customWidth="1"/>
    <col min="6894" max="6894" width="20.85546875" style="14" customWidth="1"/>
    <col min="6895" max="6895" width="24.140625" style="14" customWidth="1"/>
    <col min="6896" max="6896" width="27.85546875" style="14" customWidth="1"/>
    <col min="6897" max="6897" width="12" style="14" customWidth="1"/>
    <col min="6898" max="6898" width="15" style="14" customWidth="1"/>
    <col min="6899" max="7144" width="9" style="14"/>
    <col min="7145" max="7145" width="4.85546875" style="14" customWidth="1"/>
    <col min="7146" max="7146" width="11.140625" style="14" customWidth="1"/>
    <col min="7147" max="7147" width="25.140625" style="14" customWidth="1"/>
    <col min="7148" max="7148" width="13.5703125" style="14" customWidth="1"/>
    <col min="7149" max="7149" width="15.42578125" style="14" customWidth="1"/>
    <col min="7150" max="7150" width="20.85546875" style="14" customWidth="1"/>
    <col min="7151" max="7151" width="24.140625" style="14" customWidth="1"/>
    <col min="7152" max="7152" width="27.85546875" style="14" customWidth="1"/>
    <col min="7153" max="7153" width="12" style="14" customWidth="1"/>
    <col min="7154" max="7154" width="15" style="14" customWidth="1"/>
    <col min="7155" max="7400" width="9" style="14"/>
    <col min="7401" max="7401" width="4.85546875" style="14" customWidth="1"/>
    <col min="7402" max="7402" width="11.140625" style="14" customWidth="1"/>
    <col min="7403" max="7403" width="25.140625" style="14" customWidth="1"/>
    <col min="7404" max="7404" width="13.5703125" style="14" customWidth="1"/>
    <col min="7405" max="7405" width="15.42578125" style="14" customWidth="1"/>
    <col min="7406" max="7406" width="20.85546875" style="14" customWidth="1"/>
    <col min="7407" max="7407" width="24.140625" style="14" customWidth="1"/>
    <col min="7408" max="7408" width="27.85546875" style="14" customWidth="1"/>
    <col min="7409" max="7409" width="12" style="14" customWidth="1"/>
    <col min="7410" max="7410" width="15" style="14" customWidth="1"/>
    <col min="7411" max="7656" width="9" style="14"/>
    <col min="7657" max="7657" width="4.85546875" style="14" customWidth="1"/>
    <col min="7658" max="7658" width="11.140625" style="14" customWidth="1"/>
    <col min="7659" max="7659" width="25.140625" style="14" customWidth="1"/>
    <col min="7660" max="7660" width="13.5703125" style="14" customWidth="1"/>
    <col min="7661" max="7661" width="15.42578125" style="14" customWidth="1"/>
    <col min="7662" max="7662" width="20.85546875" style="14" customWidth="1"/>
    <col min="7663" max="7663" width="24.140625" style="14" customWidth="1"/>
    <col min="7664" max="7664" width="27.85546875" style="14" customWidth="1"/>
    <col min="7665" max="7665" width="12" style="14" customWidth="1"/>
    <col min="7666" max="7666" width="15" style="14" customWidth="1"/>
    <col min="7667" max="7912" width="9" style="14"/>
    <col min="7913" max="7913" width="4.85546875" style="14" customWidth="1"/>
    <col min="7914" max="7914" width="11.140625" style="14" customWidth="1"/>
    <col min="7915" max="7915" width="25.140625" style="14" customWidth="1"/>
    <col min="7916" max="7916" width="13.5703125" style="14" customWidth="1"/>
    <col min="7917" max="7917" width="15.42578125" style="14" customWidth="1"/>
    <col min="7918" max="7918" width="20.85546875" style="14" customWidth="1"/>
    <col min="7919" max="7919" width="24.140625" style="14" customWidth="1"/>
    <col min="7920" max="7920" width="27.85546875" style="14" customWidth="1"/>
    <col min="7921" max="7921" width="12" style="14" customWidth="1"/>
    <col min="7922" max="7922" width="15" style="14" customWidth="1"/>
    <col min="7923" max="8168" width="9" style="14"/>
    <col min="8169" max="8169" width="4.85546875" style="14" customWidth="1"/>
    <col min="8170" max="8170" width="11.140625" style="14" customWidth="1"/>
    <col min="8171" max="8171" width="25.140625" style="14" customWidth="1"/>
    <col min="8172" max="8172" width="13.5703125" style="14" customWidth="1"/>
    <col min="8173" max="8173" width="15.42578125" style="14" customWidth="1"/>
    <col min="8174" max="8174" width="20.85546875" style="14" customWidth="1"/>
    <col min="8175" max="8175" width="24.140625" style="14" customWidth="1"/>
    <col min="8176" max="8176" width="27.85546875" style="14" customWidth="1"/>
    <col min="8177" max="8177" width="12" style="14" customWidth="1"/>
    <col min="8178" max="8178" width="15" style="14" customWidth="1"/>
    <col min="8179" max="8424" width="9" style="14"/>
    <col min="8425" max="8425" width="4.85546875" style="14" customWidth="1"/>
    <col min="8426" max="8426" width="11.140625" style="14" customWidth="1"/>
    <col min="8427" max="8427" width="25.140625" style="14" customWidth="1"/>
    <col min="8428" max="8428" width="13.5703125" style="14" customWidth="1"/>
    <col min="8429" max="8429" width="15.42578125" style="14" customWidth="1"/>
    <col min="8430" max="8430" width="20.85546875" style="14" customWidth="1"/>
    <col min="8431" max="8431" width="24.140625" style="14" customWidth="1"/>
    <col min="8432" max="8432" width="27.85546875" style="14" customWidth="1"/>
    <col min="8433" max="8433" width="12" style="14" customWidth="1"/>
    <col min="8434" max="8434" width="15" style="14" customWidth="1"/>
    <col min="8435" max="8680" width="9" style="14"/>
    <col min="8681" max="8681" width="4.85546875" style="14" customWidth="1"/>
    <col min="8682" max="8682" width="11.140625" style="14" customWidth="1"/>
    <col min="8683" max="8683" width="25.140625" style="14" customWidth="1"/>
    <col min="8684" max="8684" width="13.5703125" style="14" customWidth="1"/>
    <col min="8685" max="8685" width="15.42578125" style="14" customWidth="1"/>
    <col min="8686" max="8686" width="20.85546875" style="14" customWidth="1"/>
    <col min="8687" max="8687" width="24.140625" style="14" customWidth="1"/>
    <col min="8688" max="8688" width="27.85546875" style="14" customWidth="1"/>
    <col min="8689" max="8689" width="12" style="14" customWidth="1"/>
    <col min="8690" max="8690" width="15" style="14" customWidth="1"/>
    <col min="8691" max="8936" width="9" style="14"/>
    <col min="8937" max="8937" width="4.85546875" style="14" customWidth="1"/>
    <col min="8938" max="8938" width="11.140625" style="14" customWidth="1"/>
    <col min="8939" max="8939" width="25.140625" style="14" customWidth="1"/>
    <col min="8940" max="8940" width="13.5703125" style="14" customWidth="1"/>
    <col min="8941" max="8941" width="15.42578125" style="14" customWidth="1"/>
    <col min="8942" max="8942" width="20.85546875" style="14" customWidth="1"/>
    <col min="8943" max="8943" width="24.140625" style="14" customWidth="1"/>
    <col min="8944" max="8944" width="27.85546875" style="14" customWidth="1"/>
    <col min="8945" max="8945" width="12" style="14" customWidth="1"/>
    <col min="8946" max="8946" width="15" style="14" customWidth="1"/>
    <col min="8947" max="9192" width="9" style="14"/>
    <col min="9193" max="9193" width="4.85546875" style="14" customWidth="1"/>
    <col min="9194" max="9194" width="11.140625" style="14" customWidth="1"/>
    <col min="9195" max="9195" width="25.140625" style="14" customWidth="1"/>
    <col min="9196" max="9196" width="13.5703125" style="14" customWidth="1"/>
    <col min="9197" max="9197" width="15.42578125" style="14" customWidth="1"/>
    <col min="9198" max="9198" width="20.85546875" style="14" customWidth="1"/>
    <col min="9199" max="9199" width="24.140625" style="14" customWidth="1"/>
    <col min="9200" max="9200" width="27.85546875" style="14" customWidth="1"/>
    <col min="9201" max="9201" width="12" style="14" customWidth="1"/>
    <col min="9202" max="9202" width="15" style="14" customWidth="1"/>
    <col min="9203" max="9448" width="9" style="14"/>
    <col min="9449" max="9449" width="4.85546875" style="14" customWidth="1"/>
    <col min="9450" max="9450" width="11.140625" style="14" customWidth="1"/>
    <col min="9451" max="9451" width="25.140625" style="14" customWidth="1"/>
    <col min="9452" max="9452" width="13.5703125" style="14" customWidth="1"/>
    <col min="9453" max="9453" width="15.42578125" style="14" customWidth="1"/>
    <col min="9454" max="9454" width="20.85546875" style="14" customWidth="1"/>
    <col min="9455" max="9455" width="24.140625" style="14" customWidth="1"/>
    <col min="9456" max="9456" width="27.85546875" style="14" customWidth="1"/>
    <col min="9457" max="9457" width="12" style="14" customWidth="1"/>
    <col min="9458" max="9458" width="15" style="14" customWidth="1"/>
    <col min="9459" max="9704" width="9" style="14"/>
    <col min="9705" max="9705" width="4.85546875" style="14" customWidth="1"/>
    <col min="9706" max="9706" width="11.140625" style="14" customWidth="1"/>
    <col min="9707" max="9707" width="25.140625" style="14" customWidth="1"/>
    <col min="9708" max="9708" width="13.5703125" style="14" customWidth="1"/>
    <col min="9709" max="9709" width="15.42578125" style="14" customWidth="1"/>
    <col min="9710" max="9710" width="20.85546875" style="14" customWidth="1"/>
    <col min="9711" max="9711" width="24.140625" style="14" customWidth="1"/>
    <col min="9712" max="9712" width="27.85546875" style="14" customWidth="1"/>
    <col min="9713" max="9713" width="12" style="14" customWidth="1"/>
    <col min="9714" max="9714" width="15" style="14" customWidth="1"/>
    <col min="9715" max="9960" width="9" style="14"/>
    <col min="9961" max="9961" width="4.85546875" style="14" customWidth="1"/>
    <col min="9962" max="9962" width="11.140625" style="14" customWidth="1"/>
    <col min="9963" max="9963" width="25.140625" style="14" customWidth="1"/>
    <col min="9964" max="9964" width="13.5703125" style="14" customWidth="1"/>
    <col min="9965" max="9965" width="15.42578125" style="14" customWidth="1"/>
    <col min="9966" max="9966" width="20.85546875" style="14" customWidth="1"/>
    <col min="9967" max="9967" width="24.140625" style="14" customWidth="1"/>
    <col min="9968" max="9968" width="27.85546875" style="14" customWidth="1"/>
    <col min="9969" max="9969" width="12" style="14" customWidth="1"/>
    <col min="9970" max="9970" width="15" style="14" customWidth="1"/>
    <col min="9971" max="10216" width="9" style="14"/>
    <col min="10217" max="10217" width="4.85546875" style="14" customWidth="1"/>
    <col min="10218" max="10218" width="11.140625" style="14" customWidth="1"/>
    <col min="10219" max="10219" width="25.140625" style="14" customWidth="1"/>
    <col min="10220" max="10220" width="13.5703125" style="14" customWidth="1"/>
    <col min="10221" max="10221" width="15.42578125" style="14" customWidth="1"/>
    <col min="10222" max="10222" width="20.85546875" style="14" customWidth="1"/>
    <col min="10223" max="10223" width="24.140625" style="14" customWidth="1"/>
    <col min="10224" max="10224" width="27.85546875" style="14" customWidth="1"/>
    <col min="10225" max="10225" width="12" style="14" customWidth="1"/>
    <col min="10226" max="10226" width="15" style="14" customWidth="1"/>
    <col min="10227" max="10472" width="9" style="14"/>
    <col min="10473" max="10473" width="4.85546875" style="14" customWidth="1"/>
    <col min="10474" max="10474" width="11.140625" style="14" customWidth="1"/>
    <col min="10475" max="10475" width="25.140625" style="14" customWidth="1"/>
    <col min="10476" max="10476" width="13.5703125" style="14" customWidth="1"/>
    <col min="10477" max="10477" width="15.42578125" style="14" customWidth="1"/>
    <col min="10478" max="10478" width="20.85546875" style="14" customWidth="1"/>
    <col min="10479" max="10479" width="24.140625" style="14" customWidth="1"/>
    <col min="10480" max="10480" width="27.85546875" style="14" customWidth="1"/>
    <col min="10481" max="10481" width="12" style="14" customWidth="1"/>
    <col min="10482" max="10482" width="15" style="14" customWidth="1"/>
    <col min="10483" max="10728" width="9" style="14"/>
    <col min="10729" max="10729" width="4.85546875" style="14" customWidth="1"/>
    <col min="10730" max="10730" width="11.140625" style="14" customWidth="1"/>
    <col min="10731" max="10731" width="25.140625" style="14" customWidth="1"/>
    <col min="10732" max="10732" width="13.5703125" style="14" customWidth="1"/>
    <col min="10733" max="10733" width="15.42578125" style="14" customWidth="1"/>
    <col min="10734" max="10734" width="20.85546875" style="14" customWidth="1"/>
    <col min="10735" max="10735" width="24.140625" style="14" customWidth="1"/>
    <col min="10736" max="10736" width="27.85546875" style="14" customWidth="1"/>
    <col min="10737" max="10737" width="12" style="14" customWidth="1"/>
    <col min="10738" max="10738" width="15" style="14" customWidth="1"/>
    <col min="10739" max="10984" width="9" style="14"/>
    <col min="10985" max="10985" width="4.85546875" style="14" customWidth="1"/>
    <col min="10986" max="10986" width="11.140625" style="14" customWidth="1"/>
    <col min="10987" max="10987" width="25.140625" style="14" customWidth="1"/>
    <col min="10988" max="10988" width="13.5703125" style="14" customWidth="1"/>
    <col min="10989" max="10989" width="15.42578125" style="14" customWidth="1"/>
    <col min="10990" max="10990" width="20.85546875" style="14" customWidth="1"/>
    <col min="10991" max="10991" width="24.140625" style="14" customWidth="1"/>
    <col min="10992" max="10992" width="27.85546875" style="14" customWidth="1"/>
    <col min="10993" max="10993" width="12" style="14" customWidth="1"/>
    <col min="10994" max="10994" width="15" style="14" customWidth="1"/>
    <col min="10995" max="11240" width="9" style="14"/>
    <col min="11241" max="11241" width="4.85546875" style="14" customWidth="1"/>
    <col min="11242" max="11242" width="11.140625" style="14" customWidth="1"/>
    <col min="11243" max="11243" width="25.140625" style="14" customWidth="1"/>
    <col min="11244" max="11244" width="13.5703125" style="14" customWidth="1"/>
    <col min="11245" max="11245" width="15.42578125" style="14" customWidth="1"/>
    <col min="11246" max="11246" width="20.85546875" style="14" customWidth="1"/>
    <col min="11247" max="11247" width="24.140625" style="14" customWidth="1"/>
    <col min="11248" max="11248" width="27.85546875" style="14" customWidth="1"/>
    <col min="11249" max="11249" width="12" style="14" customWidth="1"/>
    <col min="11250" max="11250" width="15" style="14" customWidth="1"/>
    <col min="11251" max="11496" width="9" style="14"/>
    <col min="11497" max="11497" width="4.85546875" style="14" customWidth="1"/>
    <col min="11498" max="11498" width="11.140625" style="14" customWidth="1"/>
    <col min="11499" max="11499" width="25.140625" style="14" customWidth="1"/>
    <col min="11500" max="11500" width="13.5703125" style="14" customWidth="1"/>
    <col min="11501" max="11501" width="15.42578125" style="14" customWidth="1"/>
    <col min="11502" max="11502" width="20.85546875" style="14" customWidth="1"/>
    <col min="11503" max="11503" width="24.140625" style="14" customWidth="1"/>
    <col min="11504" max="11504" width="27.85546875" style="14" customWidth="1"/>
    <col min="11505" max="11505" width="12" style="14" customWidth="1"/>
    <col min="11506" max="11506" width="15" style="14" customWidth="1"/>
    <col min="11507" max="11752" width="9" style="14"/>
    <col min="11753" max="11753" width="4.85546875" style="14" customWidth="1"/>
    <col min="11754" max="11754" width="11.140625" style="14" customWidth="1"/>
    <col min="11755" max="11755" width="25.140625" style="14" customWidth="1"/>
    <col min="11756" max="11756" width="13.5703125" style="14" customWidth="1"/>
    <col min="11757" max="11757" width="15.42578125" style="14" customWidth="1"/>
    <col min="11758" max="11758" width="20.85546875" style="14" customWidth="1"/>
    <col min="11759" max="11759" width="24.140625" style="14" customWidth="1"/>
    <col min="11760" max="11760" width="27.85546875" style="14" customWidth="1"/>
    <col min="11761" max="11761" width="12" style="14" customWidth="1"/>
    <col min="11762" max="11762" width="15" style="14" customWidth="1"/>
    <col min="11763" max="12008" width="9" style="14"/>
    <col min="12009" max="12009" width="4.85546875" style="14" customWidth="1"/>
    <col min="12010" max="12010" width="11.140625" style="14" customWidth="1"/>
    <col min="12011" max="12011" width="25.140625" style="14" customWidth="1"/>
    <col min="12012" max="12012" width="13.5703125" style="14" customWidth="1"/>
    <col min="12013" max="12013" width="15.42578125" style="14" customWidth="1"/>
    <col min="12014" max="12014" width="20.85546875" style="14" customWidth="1"/>
    <col min="12015" max="12015" width="24.140625" style="14" customWidth="1"/>
    <col min="12016" max="12016" width="27.85546875" style="14" customWidth="1"/>
    <col min="12017" max="12017" width="12" style="14" customWidth="1"/>
    <col min="12018" max="12018" width="15" style="14" customWidth="1"/>
    <col min="12019" max="12264" width="9" style="14"/>
    <col min="12265" max="12265" width="4.85546875" style="14" customWidth="1"/>
    <col min="12266" max="12266" width="11.140625" style="14" customWidth="1"/>
    <col min="12267" max="12267" width="25.140625" style="14" customWidth="1"/>
    <col min="12268" max="12268" width="13.5703125" style="14" customWidth="1"/>
    <col min="12269" max="12269" width="15.42578125" style="14" customWidth="1"/>
    <col min="12270" max="12270" width="20.85546875" style="14" customWidth="1"/>
    <col min="12271" max="12271" width="24.140625" style="14" customWidth="1"/>
    <col min="12272" max="12272" width="27.85546875" style="14" customWidth="1"/>
    <col min="12273" max="12273" width="12" style="14" customWidth="1"/>
    <col min="12274" max="12274" width="15" style="14" customWidth="1"/>
    <col min="12275" max="12520" width="9" style="14"/>
    <col min="12521" max="12521" width="4.85546875" style="14" customWidth="1"/>
    <col min="12522" max="12522" width="11.140625" style="14" customWidth="1"/>
    <col min="12523" max="12523" width="25.140625" style="14" customWidth="1"/>
    <col min="12524" max="12524" width="13.5703125" style="14" customWidth="1"/>
    <col min="12525" max="12525" width="15.42578125" style="14" customWidth="1"/>
    <col min="12526" max="12526" width="20.85546875" style="14" customWidth="1"/>
    <col min="12527" max="12527" width="24.140625" style="14" customWidth="1"/>
    <col min="12528" max="12528" width="27.85546875" style="14" customWidth="1"/>
    <col min="12529" max="12529" width="12" style="14" customWidth="1"/>
    <col min="12530" max="12530" width="15" style="14" customWidth="1"/>
    <col min="12531" max="12776" width="9" style="14"/>
    <col min="12777" max="12777" width="4.85546875" style="14" customWidth="1"/>
    <col min="12778" max="12778" width="11.140625" style="14" customWidth="1"/>
    <col min="12779" max="12779" width="25.140625" style="14" customWidth="1"/>
    <col min="12780" max="12780" width="13.5703125" style="14" customWidth="1"/>
    <col min="12781" max="12781" width="15.42578125" style="14" customWidth="1"/>
    <col min="12782" max="12782" width="20.85546875" style="14" customWidth="1"/>
    <col min="12783" max="12783" width="24.140625" style="14" customWidth="1"/>
    <col min="12784" max="12784" width="27.85546875" style="14" customWidth="1"/>
    <col min="12785" max="12785" width="12" style="14" customWidth="1"/>
    <col min="12786" max="12786" width="15" style="14" customWidth="1"/>
    <col min="12787" max="13032" width="9" style="14"/>
    <col min="13033" max="13033" width="4.85546875" style="14" customWidth="1"/>
    <col min="13034" max="13034" width="11.140625" style="14" customWidth="1"/>
    <col min="13035" max="13035" width="25.140625" style="14" customWidth="1"/>
    <col min="13036" max="13036" width="13.5703125" style="14" customWidth="1"/>
    <col min="13037" max="13037" width="15.42578125" style="14" customWidth="1"/>
    <col min="13038" max="13038" width="20.85546875" style="14" customWidth="1"/>
    <col min="13039" max="13039" width="24.140625" style="14" customWidth="1"/>
    <col min="13040" max="13040" width="27.85546875" style="14" customWidth="1"/>
    <col min="13041" max="13041" width="12" style="14" customWidth="1"/>
    <col min="13042" max="13042" width="15" style="14" customWidth="1"/>
    <col min="13043" max="13288" width="9" style="14"/>
    <col min="13289" max="13289" width="4.85546875" style="14" customWidth="1"/>
    <col min="13290" max="13290" width="11.140625" style="14" customWidth="1"/>
    <col min="13291" max="13291" width="25.140625" style="14" customWidth="1"/>
    <col min="13292" max="13292" width="13.5703125" style="14" customWidth="1"/>
    <col min="13293" max="13293" width="15.42578125" style="14" customWidth="1"/>
    <col min="13294" max="13294" width="20.85546875" style="14" customWidth="1"/>
    <col min="13295" max="13295" width="24.140625" style="14" customWidth="1"/>
    <col min="13296" max="13296" width="27.85546875" style="14" customWidth="1"/>
    <col min="13297" max="13297" width="12" style="14" customWidth="1"/>
    <col min="13298" max="13298" width="15" style="14" customWidth="1"/>
    <col min="13299" max="13544" width="9" style="14"/>
    <col min="13545" max="13545" width="4.85546875" style="14" customWidth="1"/>
    <col min="13546" max="13546" width="11.140625" style="14" customWidth="1"/>
    <col min="13547" max="13547" width="25.140625" style="14" customWidth="1"/>
    <col min="13548" max="13548" width="13.5703125" style="14" customWidth="1"/>
    <col min="13549" max="13549" width="15.42578125" style="14" customWidth="1"/>
    <col min="13550" max="13550" width="20.85546875" style="14" customWidth="1"/>
    <col min="13551" max="13551" width="24.140625" style="14" customWidth="1"/>
    <col min="13552" max="13552" width="27.85546875" style="14" customWidth="1"/>
    <col min="13553" max="13553" width="12" style="14" customWidth="1"/>
    <col min="13554" max="13554" width="15" style="14" customWidth="1"/>
    <col min="13555" max="13800" width="9" style="14"/>
    <col min="13801" max="13801" width="4.85546875" style="14" customWidth="1"/>
    <col min="13802" max="13802" width="11.140625" style="14" customWidth="1"/>
    <col min="13803" max="13803" width="25.140625" style="14" customWidth="1"/>
    <col min="13804" max="13804" width="13.5703125" style="14" customWidth="1"/>
    <col min="13805" max="13805" width="15.42578125" style="14" customWidth="1"/>
    <col min="13806" max="13806" width="20.85546875" style="14" customWidth="1"/>
    <col min="13807" max="13807" width="24.140625" style="14" customWidth="1"/>
    <col min="13808" max="13808" width="27.85546875" style="14" customWidth="1"/>
    <col min="13809" max="13809" width="12" style="14" customWidth="1"/>
    <col min="13810" max="13810" width="15" style="14" customWidth="1"/>
    <col min="13811" max="14056" width="9" style="14"/>
    <col min="14057" max="14057" width="4.85546875" style="14" customWidth="1"/>
    <col min="14058" max="14058" width="11.140625" style="14" customWidth="1"/>
    <col min="14059" max="14059" width="25.140625" style="14" customWidth="1"/>
    <col min="14060" max="14060" width="13.5703125" style="14" customWidth="1"/>
    <col min="14061" max="14061" width="15.42578125" style="14" customWidth="1"/>
    <col min="14062" max="14062" width="20.85546875" style="14" customWidth="1"/>
    <col min="14063" max="14063" width="24.140625" style="14" customWidth="1"/>
    <col min="14064" max="14064" width="27.85546875" style="14" customWidth="1"/>
    <col min="14065" max="14065" width="12" style="14" customWidth="1"/>
    <col min="14066" max="14066" width="15" style="14" customWidth="1"/>
    <col min="14067" max="14312" width="9" style="14"/>
    <col min="14313" max="14313" width="4.85546875" style="14" customWidth="1"/>
    <col min="14314" max="14314" width="11.140625" style="14" customWidth="1"/>
    <col min="14315" max="14315" width="25.140625" style="14" customWidth="1"/>
    <col min="14316" max="14316" width="13.5703125" style="14" customWidth="1"/>
    <col min="14317" max="14317" width="15.42578125" style="14" customWidth="1"/>
    <col min="14318" max="14318" width="20.85546875" style="14" customWidth="1"/>
    <col min="14319" max="14319" width="24.140625" style="14" customWidth="1"/>
    <col min="14320" max="14320" width="27.85546875" style="14" customWidth="1"/>
    <col min="14321" max="14321" width="12" style="14" customWidth="1"/>
    <col min="14322" max="14322" width="15" style="14" customWidth="1"/>
    <col min="14323" max="14568" width="9" style="14"/>
    <col min="14569" max="14569" width="4.85546875" style="14" customWidth="1"/>
    <col min="14570" max="14570" width="11.140625" style="14" customWidth="1"/>
    <col min="14571" max="14571" width="25.140625" style="14" customWidth="1"/>
    <col min="14572" max="14572" width="13.5703125" style="14" customWidth="1"/>
    <col min="14573" max="14573" width="15.42578125" style="14" customWidth="1"/>
    <col min="14574" max="14574" width="20.85546875" style="14" customWidth="1"/>
    <col min="14575" max="14575" width="24.140625" style="14" customWidth="1"/>
    <col min="14576" max="14576" width="27.85546875" style="14" customWidth="1"/>
    <col min="14577" max="14577" width="12" style="14" customWidth="1"/>
    <col min="14578" max="14578" width="15" style="14" customWidth="1"/>
    <col min="14579" max="14824" width="9" style="14"/>
    <col min="14825" max="14825" width="4.85546875" style="14" customWidth="1"/>
    <col min="14826" max="14826" width="11.140625" style="14" customWidth="1"/>
    <col min="14827" max="14827" width="25.140625" style="14" customWidth="1"/>
    <col min="14828" max="14828" width="13.5703125" style="14" customWidth="1"/>
    <col min="14829" max="14829" width="15.42578125" style="14" customWidth="1"/>
    <col min="14830" max="14830" width="20.85546875" style="14" customWidth="1"/>
    <col min="14831" max="14831" width="24.140625" style="14" customWidth="1"/>
    <col min="14832" max="14832" width="27.85546875" style="14" customWidth="1"/>
    <col min="14833" max="14833" width="12" style="14" customWidth="1"/>
    <col min="14834" max="14834" width="15" style="14" customWidth="1"/>
    <col min="14835" max="15080" width="9" style="14"/>
    <col min="15081" max="15081" width="4.85546875" style="14" customWidth="1"/>
    <col min="15082" max="15082" width="11.140625" style="14" customWidth="1"/>
    <col min="15083" max="15083" width="25.140625" style="14" customWidth="1"/>
    <col min="15084" max="15084" width="13.5703125" style="14" customWidth="1"/>
    <col min="15085" max="15085" width="15.42578125" style="14" customWidth="1"/>
    <col min="15086" max="15086" width="20.85546875" style="14" customWidth="1"/>
    <col min="15087" max="15087" width="24.140625" style="14" customWidth="1"/>
    <col min="15088" max="15088" width="27.85546875" style="14" customWidth="1"/>
    <col min="15089" max="15089" width="12" style="14" customWidth="1"/>
    <col min="15090" max="15090" width="15" style="14" customWidth="1"/>
    <col min="15091" max="15336" width="9" style="14"/>
    <col min="15337" max="15337" width="4.85546875" style="14" customWidth="1"/>
    <col min="15338" max="15338" width="11.140625" style="14" customWidth="1"/>
    <col min="15339" max="15339" width="25.140625" style="14" customWidth="1"/>
    <col min="15340" max="15340" width="13.5703125" style="14" customWidth="1"/>
    <col min="15341" max="15341" width="15.42578125" style="14" customWidth="1"/>
    <col min="15342" max="15342" width="20.85546875" style="14" customWidth="1"/>
    <col min="15343" max="15343" width="24.140625" style="14" customWidth="1"/>
    <col min="15344" max="15344" width="27.85546875" style="14" customWidth="1"/>
    <col min="15345" max="15345" width="12" style="14" customWidth="1"/>
    <col min="15346" max="15346" width="15" style="14" customWidth="1"/>
    <col min="15347" max="15592" width="9" style="14"/>
    <col min="15593" max="15593" width="4.85546875" style="14" customWidth="1"/>
    <col min="15594" max="15594" width="11.140625" style="14" customWidth="1"/>
    <col min="15595" max="15595" width="25.140625" style="14" customWidth="1"/>
    <col min="15596" max="15596" width="13.5703125" style="14" customWidth="1"/>
    <col min="15597" max="15597" width="15.42578125" style="14" customWidth="1"/>
    <col min="15598" max="15598" width="20.85546875" style="14" customWidth="1"/>
    <col min="15599" max="15599" width="24.140625" style="14" customWidth="1"/>
    <col min="15600" max="15600" width="27.85546875" style="14" customWidth="1"/>
    <col min="15601" max="15601" width="12" style="14" customWidth="1"/>
    <col min="15602" max="15602" width="15" style="14" customWidth="1"/>
    <col min="15603" max="15848" width="9" style="14"/>
    <col min="15849" max="15849" width="4.85546875" style="14" customWidth="1"/>
    <col min="15850" max="15850" width="11.140625" style="14" customWidth="1"/>
    <col min="15851" max="15851" width="25.140625" style="14" customWidth="1"/>
    <col min="15852" max="15852" width="13.5703125" style="14" customWidth="1"/>
    <col min="15853" max="15853" width="15.42578125" style="14" customWidth="1"/>
    <col min="15854" max="15854" width="20.85546875" style="14" customWidth="1"/>
    <col min="15855" max="15855" width="24.140625" style="14" customWidth="1"/>
    <col min="15856" max="15856" width="27.85546875" style="14" customWidth="1"/>
    <col min="15857" max="15857" width="12" style="14" customWidth="1"/>
    <col min="15858" max="15858" width="15" style="14" customWidth="1"/>
    <col min="15859" max="16104" width="9" style="14"/>
    <col min="16105" max="16105" width="4.85546875" style="14" customWidth="1"/>
    <col min="16106" max="16106" width="11.140625" style="14" customWidth="1"/>
    <col min="16107" max="16107" width="25.140625" style="14" customWidth="1"/>
    <col min="16108" max="16108" width="13.5703125" style="14" customWidth="1"/>
    <col min="16109" max="16109" width="15.42578125" style="14" customWidth="1"/>
    <col min="16110" max="16110" width="20.85546875" style="14" customWidth="1"/>
    <col min="16111" max="16111" width="24.140625" style="14" customWidth="1"/>
    <col min="16112" max="16112" width="27.85546875" style="14" customWidth="1"/>
    <col min="16113" max="16113" width="12" style="14" customWidth="1"/>
    <col min="16114" max="16114" width="15" style="14" customWidth="1"/>
    <col min="16115" max="16380" width="9" style="14"/>
    <col min="16381" max="16384" width="8.85546875" style="14" customWidth="1"/>
  </cols>
  <sheetData>
    <row r="1" spans="1:24" ht="42.95" customHeight="1">
      <c r="A1" s="16"/>
      <c r="B1" s="73"/>
      <c r="C1" s="17"/>
      <c r="D1" s="18"/>
      <c r="E1" s="166" t="s">
        <v>0</v>
      </c>
      <c r="F1" s="166"/>
      <c r="G1" s="166"/>
      <c r="H1" s="166"/>
      <c r="I1" s="166"/>
      <c r="J1" s="166"/>
      <c r="K1" s="166"/>
      <c r="L1" s="166"/>
      <c r="M1" s="53" t="s">
        <v>1</v>
      </c>
      <c r="N1" s="167"/>
      <c r="O1" s="167"/>
    </row>
    <row r="2" spans="1:24" ht="42.95" customHeight="1">
      <c r="A2" s="19"/>
      <c r="B2" s="74"/>
      <c r="C2" s="20"/>
      <c r="D2" s="21"/>
      <c r="E2" s="166"/>
      <c r="F2" s="166"/>
      <c r="G2" s="166"/>
      <c r="H2" s="166"/>
      <c r="I2" s="166"/>
      <c r="J2" s="166"/>
      <c r="K2" s="166"/>
      <c r="L2" s="166"/>
      <c r="M2" s="53" t="s">
        <v>2</v>
      </c>
      <c r="N2" s="168">
        <f ca="1">TODAY()</f>
        <v>46013</v>
      </c>
      <c r="O2" s="168"/>
    </row>
    <row r="3" spans="1:24" ht="12.75" customHeight="1">
      <c r="A3" s="22"/>
      <c r="B3" s="22"/>
      <c r="C3" s="23"/>
      <c r="D3" s="23"/>
      <c r="E3" s="23"/>
      <c r="F3" s="23"/>
      <c r="G3" s="24"/>
      <c r="H3" s="24"/>
      <c r="I3" s="24"/>
      <c r="J3" s="24"/>
    </row>
    <row r="4" spans="1:24" ht="33.75" customHeight="1">
      <c r="A4" s="169" t="s">
        <v>3</v>
      </c>
      <c r="B4" s="169"/>
      <c r="C4" s="169"/>
      <c r="D4" s="169"/>
      <c r="E4" s="169"/>
      <c r="F4" s="169"/>
      <c r="G4" s="169"/>
      <c r="H4" s="169"/>
      <c r="I4" s="169"/>
      <c r="J4" s="169"/>
      <c r="K4" s="169"/>
      <c r="L4" s="169"/>
      <c r="M4" s="169"/>
      <c r="N4" s="169"/>
      <c r="O4" s="169"/>
    </row>
    <row r="5" spans="1:24" ht="15.95" customHeight="1">
      <c r="A5" s="25"/>
      <c r="B5" s="25"/>
      <c r="C5" s="25"/>
      <c r="D5" s="25"/>
      <c r="E5" s="25"/>
      <c r="F5" s="25"/>
      <c r="G5" s="25"/>
      <c r="H5" s="26"/>
      <c r="I5" s="27"/>
      <c r="J5" s="27"/>
      <c r="K5" s="33"/>
      <c r="L5" s="33"/>
      <c r="M5" s="33"/>
      <c r="N5" s="33"/>
      <c r="O5" s="33"/>
    </row>
    <row r="6" spans="1:24" ht="31.15" customHeight="1">
      <c r="A6" s="28" t="s">
        <v>4</v>
      </c>
      <c r="B6" s="28"/>
      <c r="C6" s="29"/>
      <c r="D6" s="30"/>
      <c r="E6" s="31"/>
      <c r="F6" s="32" t="s">
        <v>5</v>
      </c>
      <c r="G6" s="33"/>
      <c r="H6" s="170"/>
      <c r="I6" s="170"/>
      <c r="J6" s="33"/>
      <c r="K6" s="33"/>
      <c r="L6" s="54" t="s">
        <v>6</v>
      </c>
      <c r="M6" s="171"/>
      <c r="N6" s="172"/>
      <c r="O6" s="33"/>
    </row>
    <row r="7" spans="1:24" ht="8.25" customHeight="1">
      <c r="A7" s="25"/>
      <c r="B7" s="25"/>
      <c r="C7" s="25"/>
      <c r="D7" s="25"/>
      <c r="E7" s="31"/>
      <c r="F7" s="25"/>
      <c r="G7" s="33"/>
      <c r="H7" s="25"/>
      <c r="I7" s="33"/>
      <c r="J7" s="33"/>
      <c r="K7" s="33"/>
      <c r="L7" s="25"/>
      <c r="M7" s="55"/>
      <c r="N7" s="55"/>
      <c r="O7" s="33"/>
    </row>
    <row r="8" spans="1:24" ht="31.15" customHeight="1">
      <c r="A8" s="34" t="s">
        <v>7</v>
      </c>
      <c r="B8" s="34"/>
      <c r="C8" s="35"/>
      <c r="D8" s="36"/>
      <c r="E8" s="31"/>
      <c r="F8" s="32" t="s">
        <v>8</v>
      </c>
      <c r="G8" s="33"/>
      <c r="H8" s="173"/>
      <c r="I8" s="173"/>
      <c r="J8" s="33"/>
      <c r="K8" s="33"/>
      <c r="L8" s="54" t="s">
        <v>9</v>
      </c>
      <c r="M8" s="174"/>
      <c r="N8" s="175"/>
      <c r="O8" s="33"/>
    </row>
    <row r="9" spans="1:24" ht="16.5">
      <c r="A9" s="25"/>
      <c r="B9" s="25"/>
      <c r="C9" s="25"/>
      <c r="D9" s="25"/>
      <c r="E9" s="31"/>
      <c r="F9" s="25"/>
      <c r="G9" s="33"/>
      <c r="H9" s="25"/>
      <c r="I9" s="33"/>
      <c r="J9" s="55"/>
      <c r="K9" s="33"/>
      <c r="L9" s="33"/>
      <c r="M9" s="33"/>
      <c r="N9" s="33"/>
      <c r="O9" s="33"/>
    </row>
    <row r="10" spans="1:24" ht="63.75" customHeight="1">
      <c r="A10" s="37" t="s">
        <v>10</v>
      </c>
      <c r="B10" s="37"/>
      <c r="C10" s="29"/>
      <c r="D10" s="38" t="s">
        <v>96</v>
      </c>
      <c r="E10" s="31"/>
      <c r="F10" s="32" t="s">
        <v>11</v>
      </c>
      <c r="G10" s="33"/>
      <c r="H10" s="176" t="s">
        <v>12</v>
      </c>
      <c r="I10" s="177"/>
      <c r="J10" s="56"/>
      <c r="K10" s="33"/>
      <c r="L10" s="54" t="s">
        <v>13</v>
      </c>
      <c r="M10" s="178" t="s">
        <v>177</v>
      </c>
      <c r="N10" s="179"/>
      <c r="O10" s="33"/>
      <c r="X10" s="14">
        <f>4</f>
        <v>4</v>
      </c>
    </row>
    <row r="11" spans="1:24" ht="9.75" customHeight="1">
      <c r="A11" s="39"/>
      <c r="B11" s="39"/>
      <c r="C11" s="40"/>
      <c r="D11" s="40"/>
      <c r="E11" s="40"/>
      <c r="F11" s="40"/>
      <c r="G11" s="40"/>
    </row>
    <row r="12" spans="1:24" s="12" customFormat="1" ht="54" customHeight="1">
      <c r="A12" s="41" t="s">
        <v>14</v>
      </c>
      <c r="B12" s="69" t="s">
        <v>80</v>
      </c>
      <c r="C12" s="186" t="s">
        <v>15</v>
      </c>
      <c r="D12" s="186"/>
      <c r="E12" s="186"/>
      <c r="F12" s="186"/>
      <c r="G12" s="42" t="s">
        <v>16</v>
      </c>
      <c r="H12" s="70" t="s">
        <v>17</v>
      </c>
      <c r="I12" s="70" t="s">
        <v>18</v>
      </c>
      <c r="J12" s="70" t="s">
        <v>19</v>
      </c>
      <c r="K12" s="70" t="s">
        <v>20</v>
      </c>
      <c r="L12" s="70" t="s">
        <v>21</v>
      </c>
      <c r="M12" s="187" t="s">
        <v>22</v>
      </c>
      <c r="N12" s="187"/>
      <c r="O12" s="57" t="s">
        <v>23</v>
      </c>
    </row>
    <row r="13" spans="1:24" s="12" customFormat="1" ht="35.450000000000003" hidden="1" customHeight="1">
      <c r="A13" s="43">
        <v>1</v>
      </c>
      <c r="B13" s="43"/>
      <c r="C13" s="188"/>
      <c r="D13" s="188"/>
      <c r="E13" s="188"/>
      <c r="F13" s="188"/>
      <c r="G13" s="44"/>
      <c r="H13" s="44"/>
      <c r="I13" s="44"/>
      <c r="J13" s="58"/>
      <c r="K13" s="44"/>
      <c r="L13" s="59"/>
      <c r="M13" s="189"/>
      <c r="N13" s="189"/>
      <c r="O13" s="60"/>
    </row>
    <row r="14" spans="1:24" s="12" customFormat="1" ht="35.450000000000003" hidden="1" customHeight="1">
      <c r="A14" s="43">
        <v>2</v>
      </c>
      <c r="B14" s="43"/>
      <c r="C14" s="188"/>
      <c r="D14" s="188"/>
      <c r="E14" s="188"/>
      <c r="F14" s="188"/>
      <c r="G14" s="44"/>
      <c r="H14" s="44"/>
      <c r="I14" s="44"/>
      <c r="J14" s="58"/>
      <c r="K14" s="44"/>
      <c r="L14" s="59"/>
      <c r="M14" s="189"/>
      <c r="N14" s="189"/>
      <c r="O14" s="60"/>
    </row>
    <row r="15" spans="1:24" s="12" customFormat="1" ht="35.450000000000003" hidden="1" customHeight="1">
      <c r="A15" s="43">
        <v>3</v>
      </c>
      <c r="B15" s="43"/>
      <c r="C15" s="188"/>
      <c r="D15" s="188"/>
      <c r="E15" s="188"/>
      <c r="F15" s="188"/>
      <c r="G15" s="44"/>
      <c r="H15" s="44"/>
      <c r="I15" s="44"/>
      <c r="J15" s="58"/>
      <c r="K15" s="44"/>
      <c r="L15" s="59"/>
      <c r="M15" s="189"/>
      <c r="N15" s="189"/>
      <c r="O15" s="60"/>
    </row>
    <row r="16" spans="1:24" s="12" customFormat="1" ht="35.450000000000003" hidden="1" customHeight="1">
      <c r="A16" s="43">
        <v>1</v>
      </c>
      <c r="B16" s="43"/>
      <c r="C16" s="188"/>
      <c r="D16" s="188"/>
      <c r="E16" s="188"/>
      <c r="F16" s="188"/>
      <c r="G16" s="44"/>
      <c r="H16" s="44"/>
      <c r="I16" s="44"/>
      <c r="J16" s="58"/>
      <c r="K16" s="44"/>
      <c r="L16" s="59"/>
      <c r="M16" s="189"/>
      <c r="N16" s="189"/>
      <c r="O16" s="60"/>
    </row>
    <row r="17" spans="1:23" s="12" customFormat="1" ht="35.450000000000003" hidden="1" customHeight="1">
      <c r="A17" s="43">
        <v>2</v>
      </c>
      <c r="B17" s="43"/>
      <c r="C17" s="188"/>
      <c r="D17" s="188"/>
      <c r="E17" s="188"/>
      <c r="F17" s="188"/>
      <c r="G17" s="44"/>
      <c r="H17" s="44"/>
      <c r="I17" s="44"/>
      <c r="J17" s="58"/>
      <c r="K17" s="44"/>
      <c r="L17" s="59"/>
      <c r="M17" s="189"/>
      <c r="N17" s="189"/>
      <c r="O17" s="60"/>
    </row>
    <row r="18" spans="1:23" s="12" customFormat="1" ht="35.450000000000003" hidden="1" customHeight="1">
      <c r="A18" s="43">
        <v>3</v>
      </c>
      <c r="B18" s="43"/>
      <c r="C18" s="190"/>
      <c r="D18" s="190"/>
      <c r="E18" s="190"/>
      <c r="F18" s="190"/>
      <c r="G18" s="44"/>
      <c r="H18" s="44"/>
      <c r="I18" s="44"/>
      <c r="J18" s="58"/>
      <c r="K18" s="44"/>
      <c r="L18" s="59"/>
      <c r="M18" s="189"/>
      <c r="N18" s="189"/>
      <c r="O18" s="60"/>
    </row>
    <row r="19" spans="1:23" s="12" customFormat="1" ht="35.450000000000003" customHeight="1">
      <c r="A19" s="43"/>
      <c r="B19" s="88"/>
      <c r="C19" s="159" t="s">
        <v>178</v>
      </c>
      <c r="D19" s="160"/>
      <c r="E19" s="160"/>
      <c r="F19" s="161"/>
      <c r="G19" s="89"/>
      <c r="H19" s="89"/>
      <c r="I19" s="89"/>
      <c r="J19" s="90" t="s">
        <v>114</v>
      </c>
      <c r="K19" s="89">
        <v>1</v>
      </c>
      <c r="L19" s="91"/>
      <c r="M19" s="164"/>
      <c r="N19" s="165"/>
      <c r="O19" s="92"/>
    </row>
    <row r="20" spans="1:23" s="12" customFormat="1" ht="35.450000000000003" customHeight="1">
      <c r="A20" s="43"/>
      <c r="B20" s="88"/>
      <c r="C20" s="159" t="s">
        <v>179</v>
      </c>
      <c r="D20" s="160"/>
      <c r="E20" s="160"/>
      <c r="F20" s="161"/>
      <c r="G20" s="89"/>
      <c r="H20" s="89"/>
      <c r="I20" s="89"/>
      <c r="J20" s="90" t="s">
        <v>114</v>
      </c>
      <c r="K20" s="89">
        <v>1</v>
      </c>
      <c r="L20" s="91"/>
      <c r="M20" s="101"/>
      <c r="N20" s="102"/>
      <c r="O20" s="92"/>
    </row>
    <row r="21" spans="1:23" s="12" customFormat="1" ht="35.450000000000003" customHeight="1">
      <c r="A21" s="43"/>
      <c r="B21" s="88"/>
      <c r="C21" s="162" t="s">
        <v>31</v>
      </c>
      <c r="D21" s="162"/>
      <c r="E21" s="162"/>
      <c r="F21" s="162"/>
      <c r="G21" s="93"/>
      <c r="H21" s="93"/>
      <c r="I21" s="93"/>
      <c r="J21" s="80" t="s">
        <v>24</v>
      </c>
      <c r="K21" s="81">
        <v>3</v>
      </c>
      <c r="L21" s="81" t="e">
        <f>#REF!+#REF!</f>
        <v>#REF!</v>
      </c>
      <c r="M21" s="191"/>
      <c r="N21" s="191"/>
      <c r="O21" s="191" t="s">
        <v>32</v>
      </c>
    </row>
    <row r="22" spans="1:23" s="12" customFormat="1" ht="35.450000000000003" customHeight="1">
      <c r="A22" s="43"/>
      <c r="B22" s="88"/>
      <c r="C22" s="162" t="s">
        <v>33</v>
      </c>
      <c r="D22" s="162"/>
      <c r="E22" s="162"/>
      <c r="F22" s="162"/>
      <c r="G22" s="93"/>
      <c r="H22" s="93"/>
      <c r="I22" s="93"/>
      <c r="J22" s="80" t="s">
        <v>24</v>
      </c>
      <c r="K22" s="81">
        <v>3</v>
      </c>
      <c r="L22" s="81" t="e">
        <f>#REF!+#REF!</f>
        <v>#REF!</v>
      </c>
      <c r="M22" s="192"/>
      <c r="N22" s="193"/>
      <c r="O22" s="191"/>
    </row>
    <row r="23" spans="1:23" s="12" customFormat="1" ht="35.450000000000003" customHeight="1">
      <c r="A23" s="43"/>
      <c r="B23" s="88"/>
      <c r="C23" s="163" t="s">
        <v>171</v>
      </c>
      <c r="D23" s="163"/>
      <c r="E23" s="163"/>
      <c r="F23" s="163"/>
      <c r="G23" s="93"/>
      <c r="H23" s="93"/>
      <c r="I23" s="93"/>
      <c r="J23" s="80" t="s">
        <v>38</v>
      </c>
      <c r="K23" s="81">
        <v>1</v>
      </c>
      <c r="L23" s="81"/>
      <c r="M23" s="191"/>
      <c r="N23" s="191"/>
      <c r="O23" s="92"/>
    </row>
    <row r="24" spans="1:23" s="12" customFormat="1" ht="35.450000000000003" customHeight="1">
      <c r="A24" s="43"/>
      <c r="B24" s="180" t="s">
        <v>185</v>
      </c>
      <c r="C24" s="181"/>
      <c r="D24" s="181"/>
      <c r="E24" s="181"/>
      <c r="F24" s="181"/>
      <c r="G24" s="181"/>
      <c r="H24" s="181"/>
      <c r="I24" s="181"/>
      <c r="J24" s="181"/>
      <c r="K24" s="181"/>
      <c r="L24" s="181"/>
      <c r="M24" s="181"/>
      <c r="N24" s="182"/>
      <c r="O24" s="108"/>
    </row>
    <row r="25" spans="1:23" s="12" customFormat="1" ht="35.450000000000003" customHeight="1">
      <c r="A25" s="46">
        <v>1</v>
      </c>
      <c r="B25" s="46" t="s">
        <v>86</v>
      </c>
      <c r="C25" s="140" t="s">
        <v>187</v>
      </c>
      <c r="D25" s="140"/>
      <c r="E25" s="140"/>
      <c r="F25" s="140"/>
      <c r="G25" s="45"/>
      <c r="H25" s="45"/>
      <c r="I25" s="45"/>
      <c r="J25" s="46" t="s">
        <v>24</v>
      </c>
      <c r="K25" s="62">
        <v>10</v>
      </c>
      <c r="L25" s="62" t="e">
        <f>#REF!+#REF!+#REF!+#REF!</f>
        <v>#REF!</v>
      </c>
      <c r="M25" s="124" t="s">
        <v>25</v>
      </c>
      <c r="N25" s="124"/>
      <c r="O25" s="183"/>
      <c r="W25" s="61">
        <v>11</v>
      </c>
    </row>
    <row r="26" spans="1:23" s="12" customFormat="1" ht="35.450000000000003" customHeight="1">
      <c r="A26" s="46">
        <v>2</v>
      </c>
      <c r="B26" s="46" t="s">
        <v>87</v>
      </c>
      <c r="C26" s="140" t="s">
        <v>26</v>
      </c>
      <c r="D26" s="140"/>
      <c r="E26" s="140"/>
      <c r="F26" s="140"/>
      <c r="G26" s="45"/>
      <c r="H26" s="45"/>
      <c r="I26" s="45"/>
      <c r="J26" s="46" t="s">
        <v>24</v>
      </c>
      <c r="K26" s="62">
        <v>14</v>
      </c>
      <c r="L26" s="62" t="e">
        <f>#REF!+#REF!+#REF!+#REF!</f>
        <v>#REF!</v>
      </c>
      <c r="M26" s="124" t="s">
        <v>27</v>
      </c>
      <c r="N26" s="124"/>
      <c r="O26" s="184"/>
      <c r="U26"/>
      <c r="W26" s="62">
        <v>24</v>
      </c>
    </row>
    <row r="27" spans="1:23" s="12" customFormat="1" ht="35.450000000000003" customHeight="1">
      <c r="A27" s="46">
        <v>3</v>
      </c>
      <c r="B27" s="46" t="s">
        <v>88</v>
      </c>
      <c r="C27" s="140" t="s">
        <v>28</v>
      </c>
      <c r="D27" s="140"/>
      <c r="E27" s="140"/>
      <c r="F27" s="140"/>
      <c r="G27" s="45"/>
      <c r="H27" s="45"/>
      <c r="I27" s="45"/>
      <c r="J27" s="46" t="s">
        <v>24</v>
      </c>
      <c r="K27" s="62">
        <v>21</v>
      </c>
      <c r="L27" s="62" t="e">
        <f>#REF!+#REF!</f>
        <v>#REF!</v>
      </c>
      <c r="M27" s="124" t="s">
        <v>27</v>
      </c>
      <c r="N27" s="124"/>
      <c r="O27" s="184"/>
      <c r="W27" s="62">
        <v>18</v>
      </c>
    </row>
    <row r="28" spans="1:23" s="12" customFormat="1" ht="35.450000000000003" customHeight="1">
      <c r="A28" s="46">
        <v>4</v>
      </c>
      <c r="B28" s="46" t="s">
        <v>89</v>
      </c>
      <c r="C28" s="140" t="s">
        <v>29</v>
      </c>
      <c r="D28" s="140"/>
      <c r="E28" s="140"/>
      <c r="F28" s="140"/>
      <c r="G28" s="45"/>
      <c r="H28" s="45"/>
      <c r="I28" s="45"/>
      <c r="J28" s="46" t="s">
        <v>24</v>
      </c>
      <c r="K28" s="62">
        <v>33</v>
      </c>
      <c r="L28" s="62" t="e">
        <f>#REF!+#REF!+#REF!+#REF!</f>
        <v>#REF!</v>
      </c>
      <c r="M28" s="124" t="s">
        <v>27</v>
      </c>
      <c r="N28" s="124"/>
      <c r="O28" s="184"/>
      <c r="W28" s="62">
        <v>28</v>
      </c>
    </row>
    <row r="29" spans="1:23" s="12" customFormat="1" ht="35.450000000000003" customHeight="1">
      <c r="A29" s="46">
        <v>5</v>
      </c>
      <c r="B29" s="46" t="s">
        <v>98</v>
      </c>
      <c r="C29" s="140" t="s">
        <v>97</v>
      </c>
      <c r="D29" s="140"/>
      <c r="E29" s="140"/>
      <c r="F29" s="140"/>
      <c r="G29" s="45"/>
      <c r="H29" s="45"/>
      <c r="I29" s="45"/>
      <c r="J29" s="46" t="s">
        <v>99</v>
      </c>
      <c r="K29" s="62">
        <v>16</v>
      </c>
      <c r="L29" s="62" t="e">
        <f>#REF!</f>
        <v>#REF!</v>
      </c>
      <c r="M29" s="124" t="s">
        <v>155</v>
      </c>
      <c r="N29" s="124"/>
      <c r="O29" s="184"/>
      <c r="W29" s="62">
        <v>3</v>
      </c>
    </row>
    <row r="30" spans="1:23" s="12" customFormat="1" ht="35.450000000000003" customHeight="1">
      <c r="A30" s="46">
        <v>6</v>
      </c>
      <c r="B30" s="46" t="s">
        <v>92</v>
      </c>
      <c r="C30" s="140" t="s">
        <v>30</v>
      </c>
      <c r="D30" s="140"/>
      <c r="E30" s="140"/>
      <c r="F30" s="140"/>
      <c r="G30" s="45"/>
      <c r="H30" s="45"/>
      <c r="I30" s="45"/>
      <c r="J30" s="46" t="s">
        <v>24</v>
      </c>
      <c r="K30" s="62">
        <v>6</v>
      </c>
      <c r="L30" s="62" t="e">
        <f>#REF!+#REF!</f>
        <v>#REF!</v>
      </c>
      <c r="M30" s="124" t="s">
        <v>27</v>
      </c>
      <c r="N30" s="124"/>
      <c r="O30" s="184"/>
      <c r="W30" s="62">
        <v>8</v>
      </c>
    </row>
    <row r="31" spans="1:23" s="12" customFormat="1" ht="33.75" customHeight="1">
      <c r="A31" s="46">
        <v>7</v>
      </c>
      <c r="B31" s="79" t="s">
        <v>90</v>
      </c>
      <c r="C31" s="154" t="s">
        <v>100</v>
      </c>
      <c r="D31" s="154"/>
      <c r="E31" s="154"/>
      <c r="F31" s="154"/>
      <c r="G31" s="45"/>
      <c r="H31" s="45"/>
      <c r="I31" s="45"/>
      <c r="J31" s="79" t="s">
        <v>41</v>
      </c>
      <c r="K31" s="62">
        <v>15</v>
      </c>
      <c r="L31" s="64" t="e">
        <f>(#REF!+#REF!+#REF!+#REF!)/6</f>
        <v>#REF!</v>
      </c>
      <c r="M31" s="124" t="s">
        <v>36</v>
      </c>
      <c r="N31" s="124"/>
      <c r="O31" s="184"/>
      <c r="W31" s="62">
        <v>1</v>
      </c>
    </row>
    <row r="32" spans="1:23" s="12" customFormat="1" ht="35.450000000000003" customHeight="1">
      <c r="A32" s="46">
        <v>8</v>
      </c>
      <c r="B32" s="79" t="s">
        <v>102</v>
      </c>
      <c r="C32" s="150" t="s">
        <v>101</v>
      </c>
      <c r="D32" s="151"/>
      <c r="E32" s="151"/>
      <c r="F32" s="152"/>
      <c r="G32" s="45"/>
      <c r="H32" s="45"/>
      <c r="I32" s="45"/>
      <c r="J32" s="79" t="s">
        <v>24</v>
      </c>
      <c r="K32" s="62">
        <v>1</v>
      </c>
      <c r="L32" s="62"/>
      <c r="M32" s="124" t="s">
        <v>156</v>
      </c>
      <c r="N32" s="124"/>
      <c r="O32" s="184"/>
      <c r="W32" s="62">
        <v>3</v>
      </c>
    </row>
    <row r="33" spans="1:23" s="12" customFormat="1" ht="35.450000000000003" customHeight="1">
      <c r="A33" s="46">
        <v>9</v>
      </c>
      <c r="B33" s="79" t="s">
        <v>83</v>
      </c>
      <c r="C33" s="150" t="s">
        <v>37</v>
      </c>
      <c r="D33" s="151"/>
      <c r="E33" s="151"/>
      <c r="F33" s="152"/>
      <c r="G33" s="45"/>
      <c r="H33" s="45"/>
      <c r="I33" s="45"/>
      <c r="J33" s="79" t="s">
        <v>24</v>
      </c>
      <c r="K33" s="62">
        <v>1</v>
      </c>
      <c r="L33" s="62"/>
      <c r="M33" s="117" t="s">
        <v>166</v>
      </c>
      <c r="N33" s="118"/>
      <c r="O33" s="184"/>
      <c r="S33"/>
      <c r="W33" s="62">
        <v>3</v>
      </c>
    </row>
    <row r="34" spans="1:23" s="12" customFormat="1" ht="36" customHeight="1">
      <c r="A34" s="46">
        <v>10</v>
      </c>
      <c r="B34" s="79" t="s">
        <v>95</v>
      </c>
      <c r="C34" s="140" t="s">
        <v>46</v>
      </c>
      <c r="D34" s="140"/>
      <c r="E34" s="140"/>
      <c r="F34" s="140"/>
      <c r="G34" s="75"/>
      <c r="H34" s="75"/>
      <c r="I34" s="75"/>
      <c r="J34" s="79" t="s">
        <v>24</v>
      </c>
      <c r="K34" s="62">
        <v>1</v>
      </c>
      <c r="L34" s="62"/>
      <c r="M34" s="124" t="s">
        <v>117</v>
      </c>
      <c r="N34" s="124"/>
      <c r="O34" s="184"/>
      <c r="W34" s="62">
        <v>5</v>
      </c>
    </row>
    <row r="35" spans="1:23" s="12" customFormat="1" ht="35.450000000000003" customHeight="1">
      <c r="A35" s="46">
        <v>11</v>
      </c>
      <c r="B35" s="79" t="s">
        <v>94</v>
      </c>
      <c r="C35" s="150" t="s">
        <v>43</v>
      </c>
      <c r="D35" s="151"/>
      <c r="E35" s="151"/>
      <c r="F35" s="152"/>
      <c r="G35" s="79"/>
      <c r="H35" s="79"/>
      <c r="I35" s="79"/>
      <c r="J35" s="79" t="s">
        <v>35</v>
      </c>
      <c r="K35" s="62">
        <v>1</v>
      </c>
      <c r="L35" s="64"/>
      <c r="M35" s="119" t="s">
        <v>172</v>
      </c>
      <c r="N35" s="118"/>
      <c r="O35" s="184"/>
      <c r="W35" s="64">
        <v>1</v>
      </c>
    </row>
    <row r="36" spans="1:23" s="12" customFormat="1" ht="35.450000000000003" customHeight="1">
      <c r="A36" s="46">
        <v>12</v>
      </c>
      <c r="B36" s="79" t="s">
        <v>85</v>
      </c>
      <c r="C36" s="150" t="s">
        <v>186</v>
      </c>
      <c r="D36" s="151"/>
      <c r="E36" s="151"/>
      <c r="F36" s="152"/>
      <c r="G36" s="45"/>
      <c r="H36" s="45"/>
      <c r="I36" s="45"/>
      <c r="J36" s="79" t="s">
        <v>38</v>
      </c>
      <c r="K36" s="62">
        <v>1</v>
      </c>
      <c r="L36" s="64"/>
      <c r="M36" s="124" t="s">
        <v>173</v>
      </c>
      <c r="N36" s="124"/>
      <c r="O36" s="184"/>
      <c r="W36" s="64">
        <v>5</v>
      </c>
    </row>
    <row r="37" spans="1:23" s="12" customFormat="1" ht="35.450000000000003" customHeight="1">
      <c r="A37" s="46">
        <v>13</v>
      </c>
      <c r="B37" s="46" t="s">
        <v>113</v>
      </c>
      <c r="C37" s="150" t="s">
        <v>112</v>
      </c>
      <c r="D37" s="151"/>
      <c r="E37" s="151"/>
      <c r="F37" s="152"/>
      <c r="G37" s="45"/>
      <c r="H37" s="45"/>
      <c r="I37" s="45"/>
      <c r="J37" s="46" t="s">
        <v>24</v>
      </c>
      <c r="K37" s="62">
        <v>6</v>
      </c>
      <c r="L37" s="62" t="e">
        <f>#REF!</f>
        <v>#REF!</v>
      </c>
      <c r="M37" s="153" t="s">
        <v>115</v>
      </c>
      <c r="N37" s="124"/>
      <c r="O37" s="184"/>
      <c r="W37" s="62">
        <v>2</v>
      </c>
    </row>
    <row r="38" spans="1:23" s="12" customFormat="1" ht="35.450000000000003" customHeight="1">
      <c r="A38" s="46">
        <v>14</v>
      </c>
      <c r="B38" s="79" t="s">
        <v>82</v>
      </c>
      <c r="C38" s="154" t="s">
        <v>116</v>
      </c>
      <c r="D38" s="154"/>
      <c r="E38" s="154"/>
      <c r="F38" s="154"/>
      <c r="G38" s="45"/>
      <c r="H38" s="45"/>
      <c r="I38" s="45"/>
      <c r="J38" s="79" t="s">
        <v>24</v>
      </c>
      <c r="K38" s="62">
        <v>4</v>
      </c>
      <c r="L38" s="62" t="e">
        <f>#REF!</f>
        <v>#REF!</v>
      </c>
      <c r="M38" s="124" t="s">
        <v>34</v>
      </c>
      <c r="N38" s="124"/>
      <c r="O38" s="184"/>
      <c r="W38" s="62">
        <v>1</v>
      </c>
    </row>
    <row r="39" spans="1:23" s="12" customFormat="1" ht="42" customHeight="1">
      <c r="A39" s="46">
        <v>15</v>
      </c>
      <c r="B39" s="79" t="s">
        <v>84</v>
      </c>
      <c r="C39" s="140" t="s">
        <v>104</v>
      </c>
      <c r="D39" s="140"/>
      <c r="E39" s="140"/>
      <c r="F39" s="140"/>
      <c r="G39" s="45"/>
      <c r="H39" s="45"/>
      <c r="I39" s="45"/>
      <c r="J39" s="79" t="s">
        <v>41</v>
      </c>
      <c r="K39" s="62">
        <v>10</v>
      </c>
      <c r="L39" s="62" t="e">
        <f>#REF!</f>
        <v>#REF!</v>
      </c>
      <c r="M39" s="124" t="s">
        <v>42</v>
      </c>
      <c r="N39" s="124"/>
      <c r="O39" s="184"/>
      <c r="W39" s="62">
        <v>2</v>
      </c>
    </row>
    <row r="40" spans="1:23" s="12" customFormat="1" ht="35.450000000000003" customHeight="1">
      <c r="A40" s="46">
        <v>16</v>
      </c>
      <c r="B40" s="79" t="s">
        <v>103</v>
      </c>
      <c r="C40" s="140" t="s">
        <v>105</v>
      </c>
      <c r="D40" s="140"/>
      <c r="E40" s="140"/>
      <c r="F40" s="140"/>
      <c r="G40" s="45"/>
      <c r="H40" s="45"/>
      <c r="I40" s="45"/>
      <c r="J40" s="79" t="s">
        <v>41</v>
      </c>
      <c r="K40" s="62">
        <v>15</v>
      </c>
      <c r="L40" s="62" t="e">
        <f>#REF!</f>
        <v>#REF!</v>
      </c>
      <c r="M40" s="120" t="s">
        <v>168</v>
      </c>
      <c r="N40" s="121"/>
      <c r="O40" s="184"/>
      <c r="W40" s="62">
        <v>1</v>
      </c>
    </row>
    <row r="41" spans="1:23" s="12" customFormat="1" ht="35.450000000000003" customHeight="1">
      <c r="A41" s="115">
        <v>17</v>
      </c>
      <c r="B41" s="79" t="s">
        <v>118</v>
      </c>
      <c r="C41" s="154" t="s">
        <v>119</v>
      </c>
      <c r="D41" s="154"/>
      <c r="E41" s="154"/>
      <c r="F41" s="154"/>
      <c r="G41" s="45"/>
      <c r="H41" s="45"/>
      <c r="I41" s="45"/>
      <c r="J41" s="79" t="s">
        <v>24</v>
      </c>
      <c r="K41" s="62">
        <v>2</v>
      </c>
      <c r="L41" s="62"/>
      <c r="M41" s="122" t="s">
        <v>167</v>
      </c>
      <c r="N41" s="123"/>
      <c r="O41" s="184"/>
      <c r="W41" s="62">
        <v>1</v>
      </c>
    </row>
    <row r="42" spans="1:23" s="12" customFormat="1" ht="35.450000000000003" customHeight="1">
      <c r="A42" s="115">
        <v>18</v>
      </c>
      <c r="B42" s="110" t="s">
        <v>181</v>
      </c>
      <c r="C42" s="156" t="s">
        <v>180</v>
      </c>
      <c r="D42" s="157"/>
      <c r="E42" s="157"/>
      <c r="F42" s="158"/>
      <c r="G42" s="45"/>
      <c r="H42" s="45"/>
      <c r="I42" s="45"/>
      <c r="J42" s="110" t="s">
        <v>24</v>
      </c>
      <c r="K42" s="62">
        <v>2</v>
      </c>
      <c r="L42" s="62"/>
      <c r="M42" s="111"/>
      <c r="N42" s="112"/>
      <c r="O42" s="184"/>
      <c r="W42" s="62"/>
    </row>
    <row r="43" spans="1:23" s="12" customFormat="1" ht="35.450000000000003" customHeight="1">
      <c r="A43" s="115">
        <v>19</v>
      </c>
      <c r="B43" s="46" t="s">
        <v>91</v>
      </c>
      <c r="C43" s="150" t="s">
        <v>39</v>
      </c>
      <c r="D43" s="151"/>
      <c r="E43" s="151"/>
      <c r="F43" s="152"/>
      <c r="G43" s="45"/>
      <c r="H43" s="45"/>
      <c r="I43" s="45"/>
      <c r="J43" s="46" t="s">
        <v>40</v>
      </c>
      <c r="K43" s="62">
        <v>2</v>
      </c>
      <c r="L43" s="62"/>
      <c r="M43" s="119"/>
      <c r="N43" s="118"/>
      <c r="O43" s="184"/>
      <c r="W43" s="62">
        <v>2</v>
      </c>
    </row>
    <row r="44" spans="1:23" s="12" customFormat="1" ht="35.450000000000003" customHeight="1">
      <c r="A44" s="115">
        <v>20</v>
      </c>
      <c r="B44" s="106" t="s">
        <v>109</v>
      </c>
      <c r="C44" s="150" t="s">
        <v>108</v>
      </c>
      <c r="D44" s="151"/>
      <c r="E44" s="151"/>
      <c r="F44" s="152"/>
      <c r="G44" s="79"/>
      <c r="H44" s="79"/>
      <c r="I44" s="79"/>
      <c r="J44" s="79" t="s">
        <v>24</v>
      </c>
      <c r="K44" s="62">
        <v>8</v>
      </c>
      <c r="L44" s="62"/>
      <c r="M44" s="124"/>
      <c r="N44" s="124"/>
      <c r="O44" s="184"/>
      <c r="W44" s="62">
        <v>35</v>
      </c>
    </row>
    <row r="45" spans="1:23" s="12" customFormat="1" ht="35.450000000000003" customHeight="1">
      <c r="A45" s="115">
        <v>21</v>
      </c>
      <c r="B45" s="79" t="s">
        <v>111</v>
      </c>
      <c r="C45" s="154" t="s">
        <v>110</v>
      </c>
      <c r="D45" s="154"/>
      <c r="E45" s="154"/>
      <c r="F45" s="154"/>
      <c r="G45" s="45"/>
      <c r="H45" s="45"/>
      <c r="I45" s="45"/>
      <c r="J45" s="79" t="s">
        <v>24</v>
      </c>
      <c r="K45" s="62">
        <v>1</v>
      </c>
      <c r="L45" s="62"/>
      <c r="M45" s="121"/>
      <c r="N45" s="121"/>
      <c r="O45" s="184"/>
      <c r="W45" s="62">
        <v>15</v>
      </c>
    </row>
    <row r="46" spans="1:23" s="12" customFormat="1" ht="35.450000000000003" customHeight="1">
      <c r="A46" s="115">
        <v>22</v>
      </c>
      <c r="B46" s="79" t="s">
        <v>107</v>
      </c>
      <c r="C46" s="140" t="s">
        <v>106</v>
      </c>
      <c r="D46" s="140"/>
      <c r="E46" s="140"/>
      <c r="F46" s="140"/>
      <c r="G46" s="45"/>
      <c r="H46" s="45"/>
      <c r="I46" s="45"/>
      <c r="J46" s="79" t="s">
        <v>48</v>
      </c>
      <c r="K46" s="62">
        <v>20</v>
      </c>
      <c r="L46" s="62" t="e">
        <f>#REF!</f>
        <v>#REF!</v>
      </c>
      <c r="M46" s="119"/>
      <c r="N46" s="118"/>
      <c r="O46" s="184"/>
      <c r="W46" s="62">
        <v>1</v>
      </c>
    </row>
    <row r="47" spans="1:23" s="12" customFormat="1" ht="35.450000000000003" customHeight="1">
      <c r="A47" s="115">
        <v>23</v>
      </c>
      <c r="B47" s="107" t="s">
        <v>81</v>
      </c>
      <c r="C47" s="155" t="s">
        <v>47</v>
      </c>
      <c r="D47" s="155"/>
      <c r="E47" s="155"/>
      <c r="F47" s="155"/>
      <c r="G47" s="48"/>
      <c r="H47" s="48"/>
      <c r="I47" s="48"/>
      <c r="J47" s="47" t="s">
        <v>48</v>
      </c>
      <c r="K47" s="66">
        <v>120</v>
      </c>
      <c r="L47" s="62"/>
      <c r="M47" s="119"/>
      <c r="N47" s="118"/>
      <c r="O47" s="184"/>
      <c r="W47" s="62">
        <v>1</v>
      </c>
    </row>
    <row r="48" spans="1:23" s="12" customFormat="1" ht="35.450000000000003" customHeight="1">
      <c r="A48" s="115">
        <v>24</v>
      </c>
      <c r="B48" s="79" t="s">
        <v>93</v>
      </c>
      <c r="C48" s="150" t="s">
        <v>44</v>
      </c>
      <c r="D48" s="151"/>
      <c r="E48" s="151"/>
      <c r="F48" s="152"/>
      <c r="G48" s="79"/>
      <c r="H48" s="79"/>
      <c r="I48" s="79"/>
      <c r="J48" s="79" t="s">
        <v>45</v>
      </c>
      <c r="K48" s="62">
        <v>1</v>
      </c>
      <c r="L48" s="62"/>
      <c r="M48" s="119"/>
      <c r="N48" s="118"/>
      <c r="O48" s="184"/>
      <c r="W48" s="62">
        <v>1</v>
      </c>
    </row>
    <row r="49" spans="1:23" s="12" customFormat="1" ht="35.450000000000003" customHeight="1">
      <c r="A49" s="115">
        <v>25</v>
      </c>
      <c r="B49" s="82" t="s">
        <v>120</v>
      </c>
      <c r="C49" s="141" t="s">
        <v>121</v>
      </c>
      <c r="D49" s="141"/>
      <c r="E49" s="141"/>
      <c r="F49" s="142"/>
      <c r="G49" s="83"/>
      <c r="H49" s="83"/>
      <c r="I49" s="83"/>
      <c r="J49" s="82" t="s">
        <v>41</v>
      </c>
      <c r="K49" s="84">
        <v>10</v>
      </c>
      <c r="L49" s="62"/>
      <c r="M49" s="77"/>
      <c r="N49" s="78"/>
      <c r="O49" s="184"/>
      <c r="W49" s="62"/>
    </row>
    <row r="50" spans="1:23" s="12" customFormat="1" ht="35.450000000000003" customHeight="1">
      <c r="A50" s="115">
        <v>26</v>
      </c>
      <c r="B50" s="82" t="s">
        <v>122</v>
      </c>
      <c r="C50" s="141" t="s">
        <v>123</v>
      </c>
      <c r="D50" s="141"/>
      <c r="E50" s="141"/>
      <c r="F50" s="142"/>
      <c r="G50" s="83"/>
      <c r="H50" s="83"/>
      <c r="I50" s="83"/>
      <c r="J50" s="82" t="s">
        <v>24</v>
      </c>
      <c r="K50" s="84">
        <v>4</v>
      </c>
      <c r="L50" s="62"/>
      <c r="M50" s="77"/>
      <c r="N50" s="78"/>
      <c r="O50" s="184"/>
      <c r="W50" s="62"/>
    </row>
    <row r="51" spans="1:23" s="12" customFormat="1" ht="35.450000000000003" customHeight="1">
      <c r="A51" s="115">
        <v>27</v>
      </c>
      <c r="B51" s="82" t="s">
        <v>124</v>
      </c>
      <c r="C51" s="141" t="s">
        <v>125</v>
      </c>
      <c r="D51" s="141"/>
      <c r="E51" s="141"/>
      <c r="F51" s="142"/>
      <c r="G51" s="83"/>
      <c r="H51" s="83"/>
      <c r="I51" s="83"/>
      <c r="J51" s="82" t="s">
        <v>24</v>
      </c>
      <c r="K51" s="84">
        <v>4</v>
      </c>
      <c r="L51" s="62"/>
      <c r="M51" s="77"/>
      <c r="N51" s="78"/>
      <c r="O51" s="184"/>
      <c r="W51" s="62"/>
    </row>
    <row r="52" spans="1:23" s="12" customFormat="1" ht="35.450000000000003" customHeight="1">
      <c r="A52" s="115">
        <v>28</v>
      </c>
      <c r="B52" s="82" t="s">
        <v>126</v>
      </c>
      <c r="C52" s="141" t="s">
        <v>127</v>
      </c>
      <c r="D52" s="141"/>
      <c r="E52" s="141"/>
      <c r="F52" s="142"/>
      <c r="G52" s="83"/>
      <c r="H52" s="83"/>
      <c r="I52" s="83"/>
      <c r="J52" s="82" t="s">
        <v>24</v>
      </c>
      <c r="K52" s="84">
        <v>4</v>
      </c>
      <c r="L52" s="62"/>
      <c r="M52" s="77"/>
      <c r="N52" s="78"/>
      <c r="O52" s="184"/>
      <c r="W52" s="62"/>
    </row>
    <row r="53" spans="1:23" s="12" customFormat="1" ht="35.450000000000003" customHeight="1">
      <c r="A53" s="115">
        <v>29</v>
      </c>
      <c r="B53" s="82" t="s">
        <v>128</v>
      </c>
      <c r="C53" s="141" t="s">
        <v>129</v>
      </c>
      <c r="D53" s="141"/>
      <c r="E53" s="141"/>
      <c r="F53" s="142"/>
      <c r="G53" s="83"/>
      <c r="H53" s="83"/>
      <c r="I53" s="83"/>
      <c r="J53" s="82" t="s">
        <v>24</v>
      </c>
      <c r="K53" s="84">
        <v>4</v>
      </c>
      <c r="L53" s="62"/>
      <c r="M53" s="77"/>
      <c r="N53" s="78"/>
      <c r="O53" s="184"/>
      <c r="W53" s="62"/>
    </row>
    <row r="54" spans="1:23" s="12" customFormat="1" ht="35.450000000000003" customHeight="1">
      <c r="A54" s="115">
        <v>30</v>
      </c>
      <c r="B54" s="82" t="s">
        <v>130</v>
      </c>
      <c r="C54" s="141" t="s">
        <v>131</v>
      </c>
      <c r="D54" s="141"/>
      <c r="E54" s="141"/>
      <c r="F54" s="142"/>
      <c r="G54" s="83"/>
      <c r="H54" s="83"/>
      <c r="I54" s="83"/>
      <c r="J54" s="82" t="s">
        <v>24</v>
      </c>
      <c r="K54" s="84">
        <v>4</v>
      </c>
      <c r="L54" s="62"/>
      <c r="M54" s="77"/>
      <c r="N54" s="78"/>
      <c r="O54" s="184"/>
      <c r="W54" s="62"/>
    </row>
    <row r="55" spans="1:23" s="12" customFormat="1" ht="35.450000000000003" customHeight="1">
      <c r="A55" s="115">
        <v>31</v>
      </c>
      <c r="B55" s="82" t="s">
        <v>132</v>
      </c>
      <c r="C55" s="141" t="s">
        <v>133</v>
      </c>
      <c r="D55" s="141"/>
      <c r="E55" s="141"/>
      <c r="F55" s="142"/>
      <c r="G55" s="83"/>
      <c r="H55" s="83"/>
      <c r="I55" s="83"/>
      <c r="J55" s="82" t="s">
        <v>24</v>
      </c>
      <c r="K55" s="84">
        <v>8</v>
      </c>
      <c r="L55" s="62"/>
      <c r="M55" s="77"/>
      <c r="N55" s="78"/>
      <c r="O55" s="184"/>
      <c r="W55" s="62"/>
    </row>
    <row r="56" spans="1:23" s="12" customFormat="1" ht="35.450000000000003" customHeight="1">
      <c r="A56" s="115">
        <v>32</v>
      </c>
      <c r="B56" s="82" t="s">
        <v>134</v>
      </c>
      <c r="C56" s="141" t="s">
        <v>135</v>
      </c>
      <c r="D56" s="141"/>
      <c r="E56" s="141"/>
      <c r="F56" s="142"/>
      <c r="G56" s="83"/>
      <c r="H56" s="83"/>
      <c r="I56" s="83"/>
      <c r="J56" s="82" t="s">
        <v>38</v>
      </c>
      <c r="K56" s="84">
        <v>10</v>
      </c>
      <c r="L56" s="62"/>
      <c r="M56" s="119"/>
      <c r="N56" s="118"/>
      <c r="O56" s="184"/>
      <c r="W56" s="62">
        <v>1</v>
      </c>
    </row>
    <row r="57" spans="1:23" s="12" customFormat="1" ht="35.450000000000003" customHeight="1">
      <c r="A57" s="115">
        <v>33</v>
      </c>
      <c r="B57" s="82" t="s">
        <v>136</v>
      </c>
      <c r="C57" s="141" t="s">
        <v>137</v>
      </c>
      <c r="D57" s="141"/>
      <c r="E57" s="141"/>
      <c r="F57" s="142"/>
      <c r="G57" s="83"/>
      <c r="H57" s="83"/>
      <c r="I57" s="83"/>
      <c r="J57" s="82" t="s">
        <v>138</v>
      </c>
      <c r="K57" s="84">
        <v>1</v>
      </c>
      <c r="L57" s="62"/>
      <c r="M57" s="77"/>
      <c r="N57" s="78"/>
      <c r="O57" s="184"/>
      <c r="W57" s="62"/>
    </row>
    <row r="58" spans="1:23" s="12" customFormat="1" ht="35.450000000000003" customHeight="1">
      <c r="A58" s="115">
        <v>34</v>
      </c>
      <c r="B58" s="82" t="s">
        <v>139</v>
      </c>
      <c r="C58" s="143" t="s">
        <v>140</v>
      </c>
      <c r="D58" s="135"/>
      <c r="E58" s="135"/>
      <c r="F58" s="136"/>
      <c r="G58" s="85"/>
      <c r="H58" s="85"/>
      <c r="I58" s="85"/>
      <c r="J58" s="86" t="s">
        <v>24</v>
      </c>
      <c r="K58" s="87">
        <v>3</v>
      </c>
      <c r="L58" s="62"/>
      <c r="M58" s="77"/>
      <c r="N58" s="78"/>
      <c r="O58" s="184"/>
      <c r="W58" s="62"/>
    </row>
    <row r="59" spans="1:23" s="12" customFormat="1" ht="35.450000000000003" customHeight="1">
      <c r="A59" s="115">
        <v>35</v>
      </c>
      <c r="B59" s="82" t="s">
        <v>141</v>
      </c>
      <c r="C59" s="143" t="s">
        <v>142</v>
      </c>
      <c r="D59" s="135"/>
      <c r="E59" s="135"/>
      <c r="F59" s="136"/>
      <c r="G59" s="85"/>
      <c r="H59" s="85"/>
      <c r="I59" s="85"/>
      <c r="J59" s="86" t="s">
        <v>143</v>
      </c>
      <c r="K59" s="87">
        <v>20</v>
      </c>
      <c r="L59" s="62"/>
      <c r="M59" s="77"/>
      <c r="N59" s="78"/>
      <c r="O59" s="184"/>
      <c r="W59" s="62"/>
    </row>
    <row r="60" spans="1:23" s="12" customFormat="1" ht="35.450000000000003" customHeight="1">
      <c r="A60" s="115">
        <v>36</v>
      </c>
      <c r="B60" s="82" t="s">
        <v>144</v>
      </c>
      <c r="C60" s="143" t="s">
        <v>145</v>
      </c>
      <c r="D60" s="135"/>
      <c r="E60" s="135"/>
      <c r="F60" s="136"/>
      <c r="G60" s="85"/>
      <c r="H60" s="85"/>
      <c r="I60" s="85"/>
      <c r="J60" s="86" t="s">
        <v>146</v>
      </c>
      <c r="K60" s="87">
        <v>3</v>
      </c>
      <c r="L60" s="62"/>
      <c r="M60" s="77"/>
      <c r="N60" s="78"/>
      <c r="O60" s="184"/>
      <c r="W60" s="62"/>
    </row>
    <row r="61" spans="1:23" s="12" customFormat="1" ht="35.450000000000003" customHeight="1">
      <c r="A61" s="115">
        <v>37</v>
      </c>
      <c r="B61" s="82"/>
      <c r="C61" s="134" t="s">
        <v>169</v>
      </c>
      <c r="D61" s="135"/>
      <c r="E61" s="135"/>
      <c r="F61" s="136"/>
      <c r="G61" s="85"/>
      <c r="H61" s="85"/>
      <c r="I61" s="85"/>
      <c r="J61" s="103" t="s">
        <v>38</v>
      </c>
      <c r="K61" s="87">
        <v>1</v>
      </c>
      <c r="L61" s="62"/>
      <c r="M61" s="119" t="s">
        <v>170</v>
      </c>
      <c r="N61" s="118"/>
      <c r="O61" s="184"/>
      <c r="W61" s="62"/>
    </row>
    <row r="62" spans="1:23" s="12" customFormat="1" ht="35.450000000000003" customHeight="1">
      <c r="A62" s="115">
        <v>38</v>
      </c>
      <c r="B62" s="82" t="s">
        <v>147</v>
      </c>
      <c r="C62" s="143" t="s">
        <v>148</v>
      </c>
      <c r="D62" s="135"/>
      <c r="E62" s="135"/>
      <c r="F62" s="136"/>
      <c r="G62" s="85"/>
      <c r="H62" s="85"/>
      <c r="I62" s="85"/>
      <c r="J62" s="86" t="s">
        <v>149</v>
      </c>
      <c r="K62" s="87">
        <v>2</v>
      </c>
      <c r="L62" s="62"/>
      <c r="M62" s="77"/>
      <c r="N62" s="78"/>
      <c r="O62" s="184"/>
      <c r="W62" s="62"/>
    </row>
    <row r="63" spans="1:23" s="12" customFormat="1" ht="35.450000000000003" customHeight="1">
      <c r="A63" s="115">
        <v>39</v>
      </c>
      <c r="B63" s="82"/>
      <c r="C63" s="134" t="s">
        <v>174</v>
      </c>
      <c r="D63" s="135"/>
      <c r="E63" s="135"/>
      <c r="F63" s="136"/>
      <c r="G63" s="85"/>
      <c r="H63" s="85"/>
      <c r="I63" s="85"/>
      <c r="J63" s="103" t="s">
        <v>138</v>
      </c>
      <c r="K63" s="87">
        <v>2</v>
      </c>
      <c r="L63" s="62"/>
      <c r="M63" s="104"/>
      <c r="N63" s="105"/>
      <c r="O63" s="184"/>
      <c r="W63" s="62"/>
    </row>
    <row r="64" spans="1:23" s="12" customFormat="1" ht="35.450000000000003" customHeight="1">
      <c r="A64" s="115">
        <v>40</v>
      </c>
      <c r="B64" s="82"/>
      <c r="C64" s="143" t="s">
        <v>150</v>
      </c>
      <c r="D64" s="135"/>
      <c r="E64" s="135"/>
      <c r="F64" s="136"/>
      <c r="G64" s="85"/>
      <c r="H64" s="85"/>
      <c r="I64" s="85"/>
      <c r="J64" s="86" t="s">
        <v>151</v>
      </c>
      <c r="K64" s="87">
        <v>20</v>
      </c>
      <c r="L64" s="62"/>
      <c r="M64" s="77"/>
      <c r="N64" s="78"/>
      <c r="O64" s="184"/>
      <c r="W64" s="62"/>
    </row>
    <row r="65" spans="1:23" s="12" customFormat="1" ht="35.450000000000003" customHeight="1">
      <c r="A65" s="115">
        <v>41</v>
      </c>
      <c r="B65" s="82"/>
      <c r="C65" s="143" t="s">
        <v>152</v>
      </c>
      <c r="D65" s="135"/>
      <c r="E65" s="135"/>
      <c r="F65" s="136"/>
      <c r="G65" s="85"/>
      <c r="H65" s="85"/>
      <c r="I65" s="85"/>
      <c r="J65" s="86" t="s">
        <v>153</v>
      </c>
      <c r="K65" s="87">
        <v>4</v>
      </c>
      <c r="L65" s="62"/>
      <c r="M65" s="77"/>
      <c r="N65" s="78"/>
      <c r="O65" s="184"/>
      <c r="W65" s="62"/>
    </row>
    <row r="66" spans="1:23" s="12" customFormat="1" ht="35.450000000000003" customHeight="1">
      <c r="A66" s="115">
        <v>42</v>
      </c>
      <c r="B66" s="79"/>
      <c r="C66" s="147" t="s">
        <v>154</v>
      </c>
      <c r="D66" s="148"/>
      <c r="E66" s="148"/>
      <c r="F66" s="149"/>
      <c r="G66" s="79"/>
      <c r="H66" s="79"/>
      <c r="I66" s="79"/>
      <c r="J66" s="79" t="s">
        <v>153</v>
      </c>
      <c r="K66" s="62">
        <v>3</v>
      </c>
      <c r="L66" s="62"/>
      <c r="M66" s="77"/>
      <c r="N66" s="78"/>
      <c r="O66" s="184"/>
      <c r="W66" s="62"/>
    </row>
    <row r="67" spans="1:23" s="12" customFormat="1" ht="35.450000000000003" customHeight="1">
      <c r="A67" s="79"/>
      <c r="B67" s="144" t="s">
        <v>163</v>
      </c>
      <c r="C67" s="145"/>
      <c r="D67" s="145"/>
      <c r="E67" s="145"/>
      <c r="F67" s="145"/>
      <c r="G67" s="145"/>
      <c r="H67" s="145"/>
      <c r="I67" s="145"/>
      <c r="J67" s="145"/>
      <c r="K67" s="145"/>
      <c r="L67" s="145"/>
      <c r="M67" s="145"/>
      <c r="N67" s="146"/>
      <c r="O67" s="185"/>
      <c r="W67" s="62"/>
    </row>
    <row r="68" spans="1:23" s="12" customFormat="1" ht="35.450000000000003" customHeight="1">
      <c r="A68" s="79"/>
      <c r="B68" s="86" t="s">
        <v>157</v>
      </c>
      <c r="C68" s="138" t="s">
        <v>158</v>
      </c>
      <c r="D68" s="138"/>
      <c r="E68" s="138"/>
      <c r="F68" s="139"/>
      <c r="G68" s="109"/>
      <c r="H68" s="109"/>
      <c r="I68" s="109"/>
      <c r="J68" s="109" t="s">
        <v>38</v>
      </c>
      <c r="K68" s="109">
        <v>1</v>
      </c>
      <c r="L68" s="62"/>
      <c r="M68" s="128" t="s">
        <v>175</v>
      </c>
      <c r="N68" s="129"/>
      <c r="O68" s="63"/>
      <c r="W68" s="62"/>
    </row>
    <row r="69" spans="1:23" s="12" customFormat="1" ht="35.450000000000003" customHeight="1">
      <c r="A69" s="46"/>
      <c r="B69" s="86" t="s">
        <v>83</v>
      </c>
      <c r="C69" s="138" t="s">
        <v>159</v>
      </c>
      <c r="D69" s="138"/>
      <c r="E69" s="138"/>
      <c r="F69" s="139"/>
      <c r="G69" s="109"/>
      <c r="H69" s="109"/>
      <c r="I69" s="109"/>
      <c r="J69" s="109" t="s">
        <v>24</v>
      </c>
      <c r="K69" s="109">
        <v>2</v>
      </c>
      <c r="L69" s="62"/>
      <c r="M69" s="130"/>
      <c r="N69" s="131"/>
      <c r="O69" s="63"/>
      <c r="W69" s="62">
        <v>1</v>
      </c>
    </row>
    <row r="70" spans="1:23" s="12" customFormat="1" ht="35.450000000000003" customHeight="1">
      <c r="A70" s="46"/>
      <c r="B70" s="86" t="s">
        <v>160</v>
      </c>
      <c r="C70" s="138" t="s">
        <v>161</v>
      </c>
      <c r="D70" s="138"/>
      <c r="E70" s="138"/>
      <c r="F70" s="139"/>
      <c r="G70" s="85"/>
      <c r="H70" s="85"/>
      <c r="I70" s="85"/>
      <c r="J70" s="86" t="s">
        <v>24</v>
      </c>
      <c r="K70" s="87">
        <v>1</v>
      </c>
      <c r="L70" s="76"/>
      <c r="M70" s="130"/>
      <c r="N70" s="131"/>
      <c r="O70" s="63"/>
      <c r="W70" s="65">
        <v>1</v>
      </c>
    </row>
    <row r="71" spans="1:23" s="12" customFormat="1" ht="35.450000000000003" customHeight="1">
      <c r="A71" s="46"/>
      <c r="B71" s="86"/>
      <c r="C71" s="138" t="s">
        <v>162</v>
      </c>
      <c r="D71" s="138"/>
      <c r="E71" s="138"/>
      <c r="F71" s="139"/>
      <c r="G71" s="85"/>
      <c r="H71" s="85"/>
      <c r="I71" s="85"/>
      <c r="J71" s="86" t="s">
        <v>41</v>
      </c>
      <c r="K71" s="87">
        <v>3</v>
      </c>
      <c r="L71" s="62" t="e">
        <f>#REF!</f>
        <v>#REF!</v>
      </c>
      <c r="M71" s="132"/>
      <c r="N71" s="133"/>
      <c r="O71" s="63"/>
      <c r="W71" s="62">
        <v>1</v>
      </c>
    </row>
    <row r="72" spans="1:23" s="12" customFormat="1" ht="35.450000000000003" customHeight="1">
      <c r="A72" s="94"/>
      <c r="B72" s="125" t="s">
        <v>164</v>
      </c>
      <c r="C72" s="126"/>
      <c r="D72" s="126"/>
      <c r="E72" s="126"/>
      <c r="F72" s="126"/>
      <c r="G72" s="126"/>
      <c r="H72" s="126"/>
      <c r="I72" s="126"/>
      <c r="J72" s="126"/>
      <c r="K72" s="126"/>
      <c r="L72" s="126"/>
      <c r="M72" s="126"/>
      <c r="N72" s="127"/>
      <c r="O72" s="72"/>
      <c r="W72" s="95"/>
    </row>
    <row r="73" spans="1:23" s="12" customFormat="1" ht="35.450000000000003" customHeight="1">
      <c r="A73" s="94"/>
      <c r="B73" s="103"/>
      <c r="C73" s="137" t="s">
        <v>182</v>
      </c>
      <c r="D73" s="138"/>
      <c r="E73" s="138"/>
      <c r="F73" s="139"/>
      <c r="G73" s="85"/>
      <c r="H73" s="85"/>
      <c r="I73" s="85"/>
      <c r="J73" s="86" t="s">
        <v>24</v>
      </c>
      <c r="K73" s="87">
        <v>1</v>
      </c>
      <c r="L73" s="95"/>
      <c r="M73" s="128" t="s">
        <v>176</v>
      </c>
      <c r="N73" s="129"/>
      <c r="O73" s="72"/>
      <c r="W73" s="95"/>
    </row>
    <row r="74" spans="1:23" s="12" customFormat="1" ht="35.450000000000003" customHeight="1">
      <c r="A74" s="94"/>
      <c r="B74" s="86"/>
      <c r="C74" s="137" t="s">
        <v>165</v>
      </c>
      <c r="D74" s="138"/>
      <c r="E74" s="138"/>
      <c r="F74" s="139"/>
      <c r="G74" s="85"/>
      <c r="H74" s="85"/>
      <c r="I74" s="85"/>
      <c r="J74" s="86" t="s">
        <v>24</v>
      </c>
      <c r="K74" s="87">
        <v>1</v>
      </c>
      <c r="L74" s="95"/>
      <c r="M74" s="130"/>
      <c r="N74" s="131"/>
      <c r="O74" s="72"/>
      <c r="W74" s="95"/>
    </row>
    <row r="75" spans="1:23" s="12" customFormat="1" ht="35.450000000000003" customHeight="1">
      <c r="A75" s="94"/>
      <c r="B75" s="86"/>
      <c r="C75" s="137" t="s">
        <v>183</v>
      </c>
      <c r="D75" s="138"/>
      <c r="E75" s="138"/>
      <c r="F75" s="139"/>
      <c r="G75" s="85"/>
      <c r="H75" s="85"/>
      <c r="I75" s="85"/>
      <c r="J75" s="86" t="s">
        <v>41</v>
      </c>
      <c r="K75" s="87">
        <v>5</v>
      </c>
      <c r="L75" s="95"/>
      <c r="M75" s="130"/>
      <c r="N75" s="131"/>
      <c r="O75" s="72"/>
      <c r="W75" s="95"/>
    </row>
    <row r="76" spans="1:23" s="12" customFormat="1" ht="35.450000000000003" customHeight="1">
      <c r="A76" s="94"/>
      <c r="B76" s="86"/>
      <c r="C76" s="137" t="s">
        <v>184</v>
      </c>
      <c r="D76" s="138"/>
      <c r="E76" s="138"/>
      <c r="F76" s="139"/>
      <c r="G76" s="85"/>
      <c r="H76" s="85"/>
      <c r="I76" s="85"/>
      <c r="J76" s="86" t="s">
        <v>41</v>
      </c>
      <c r="K76" s="87">
        <v>8</v>
      </c>
      <c r="L76" s="95"/>
      <c r="M76" s="132"/>
      <c r="N76" s="133"/>
      <c r="O76" s="72"/>
      <c r="W76" s="95"/>
    </row>
    <row r="77" spans="1:23" s="12" customFormat="1" ht="35.450000000000003" customHeight="1">
      <c r="A77" s="47"/>
      <c r="B77" s="96"/>
      <c r="C77" s="97"/>
      <c r="D77" s="97"/>
      <c r="E77" s="97"/>
      <c r="F77" s="98"/>
      <c r="G77" s="99"/>
      <c r="H77" s="99"/>
      <c r="I77" s="99"/>
      <c r="J77" s="96"/>
      <c r="K77" s="100"/>
      <c r="L77" s="95"/>
      <c r="M77" s="113"/>
      <c r="N77" s="114"/>
      <c r="O77" s="67"/>
      <c r="W77" s="95"/>
    </row>
    <row r="78" spans="1:23" s="13" customFormat="1" ht="18.75">
      <c r="A78" s="14"/>
      <c r="B78" s="14"/>
      <c r="C78" s="49"/>
      <c r="D78" s="50" t="s">
        <v>49</v>
      </c>
      <c r="E78" s="51"/>
      <c r="F78" s="51"/>
      <c r="G78" s="52"/>
      <c r="H78" s="52"/>
      <c r="I78" s="71" t="s">
        <v>50</v>
      </c>
      <c r="J78" s="71"/>
      <c r="K78" s="52"/>
      <c r="L78" s="52"/>
      <c r="M78" s="116" t="s">
        <v>51</v>
      </c>
      <c r="N78" s="116"/>
    </row>
    <row r="79" spans="1:23">
      <c r="A79" s="13"/>
      <c r="B79" s="13"/>
    </row>
  </sheetData>
  <mergeCells count="116">
    <mergeCell ref="O21:O22"/>
    <mergeCell ref="C22:F22"/>
    <mergeCell ref="M22:N22"/>
    <mergeCell ref="C49:F49"/>
    <mergeCell ref="C50:F50"/>
    <mergeCell ref="C27:F27"/>
    <mergeCell ref="M27:N27"/>
    <mergeCell ref="C28:F28"/>
    <mergeCell ref="M28:N28"/>
    <mergeCell ref="C29:F29"/>
    <mergeCell ref="M29:N29"/>
    <mergeCell ref="C30:F30"/>
    <mergeCell ref="M30:N30"/>
    <mergeCell ref="C31:F31"/>
    <mergeCell ref="M31:N31"/>
    <mergeCell ref="C32:F32"/>
    <mergeCell ref="M32:N32"/>
    <mergeCell ref="C33:F33"/>
    <mergeCell ref="M21:N21"/>
    <mergeCell ref="M23:N23"/>
    <mergeCell ref="C38:F38"/>
    <mergeCell ref="C39:F39"/>
    <mergeCell ref="C34:F34"/>
    <mergeCell ref="C25:F25"/>
    <mergeCell ref="M14:N14"/>
    <mergeCell ref="C15:F15"/>
    <mergeCell ref="M15:N15"/>
    <mergeCell ref="C20:F20"/>
    <mergeCell ref="C16:F16"/>
    <mergeCell ref="M16:N16"/>
    <mergeCell ref="C17:F17"/>
    <mergeCell ref="M17:N17"/>
    <mergeCell ref="C18:F18"/>
    <mergeCell ref="M18:N18"/>
    <mergeCell ref="M25:N25"/>
    <mergeCell ref="C26:F26"/>
    <mergeCell ref="M26:N26"/>
    <mergeCell ref="C19:F19"/>
    <mergeCell ref="C21:F21"/>
    <mergeCell ref="C23:F23"/>
    <mergeCell ref="M19:N19"/>
    <mergeCell ref="E1:L2"/>
    <mergeCell ref="N1:O1"/>
    <mergeCell ref="N2:O2"/>
    <mergeCell ref="A4:O4"/>
    <mergeCell ref="H6:I6"/>
    <mergeCell ref="M6:N6"/>
    <mergeCell ref="H8:I8"/>
    <mergeCell ref="M8:N8"/>
    <mergeCell ref="H10:I10"/>
    <mergeCell ref="M10:N10"/>
    <mergeCell ref="B24:N24"/>
    <mergeCell ref="O25:O67"/>
    <mergeCell ref="C12:F12"/>
    <mergeCell ref="M12:N12"/>
    <mergeCell ref="C13:F13"/>
    <mergeCell ref="M13:N13"/>
    <mergeCell ref="C14:F14"/>
    <mergeCell ref="C71:F71"/>
    <mergeCell ref="C64:F64"/>
    <mergeCell ref="C65:F65"/>
    <mergeCell ref="C66:F66"/>
    <mergeCell ref="C68:F68"/>
    <mergeCell ref="C35:F35"/>
    <mergeCell ref="C36:F36"/>
    <mergeCell ref="M36:N36"/>
    <mergeCell ref="M37:N37"/>
    <mergeCell ref="C37:F37"/>
    <mergeCell ref="C51:F51"/>
    <mergeCell ref="C52:F52"/>
    <mergeCell ref="C53:F53"/>
    <mergeCell ref="C43:F43"/>
    <mergeCell ref="M44:N44"/>
    <mergeCell ref="C45:F45"/>
    <mergeCell ref="M45:N45"/>
    <mergeCell ref="C47:F47"/>
    <mergeCell ref="C41:F41"/>
    <mergeCell ref="C44:F44"/>
    <mergeCell ref="C48:F48"/>
    <mergeCell ref="C42:F42"/>
    <mergeCell ref="C54:F54"/>
    <mergeCell ref="C55:F55"/>
    <mergeCell ref="C57:F57"/>
    <mergeCell ref="C58:F58"/>
    <mergeCell ref="C60:F60"/>
    <mergeCell ref="C62:F62"/>
    <mergeCell ref="C61:F61"/>
    <mergeCell ref="C59:F59"/>
    <mergeCell ref="C70:F70"/>
    <mergeCell ref="B67:N67"/>
    <mergeCell ref="C56:F56"/>
    <mergeCell ref="C69:F69"/>
    <mergeCell ref="M78:N78"/>
    <mergeCell ref="M33:N33"/>
    <mergeCell ref="M35:N35"/>
    <mergeCell ref="M40:N40"/>
    <mergeCell ref="M41:N41"/>
    <mergeCell ref="M43:N43"/>
    <mergeCell ref="M46:N46"/>
    <mergeCell ref="M47:N47"/>
    <mergeCell ref="M48:N48"/>
    <mergeCell ref="M38:N38"/>
    <mergeCell ref="M39:N39"/>
    <mergeCell ref="M56:N56"/>
    <mergeCell ref="M34:N34"/>
    <mergeCell ref="B72:N72"/>
    <mergeCell ref="M73:N76"/>
    <mergeCell ref="C63:F63"/>
    <mergeCell ref="M68:N71"/>
    <mergeCell ref="C73:F73"/>
    <mergeCell ref="C74:F74"/>
    <mergeCell ref="C75:F75"/>
    <mergeCell ref="C76:F76"/>
    <mergeCell ref="M61:N61"/>
    <mergeCell ref="C40:F40"/>
    <mergeCell ref="C46:F46"/>
  </mergeCells>
  <dataValidations count="1">
    <dataValidation showInputMessage="1" showErrorMessage="1" error="Please select from list" sqref="IC9:ID9 RY9:RZ9 ABU9:ABV9 ALQ9:ALR9 AVM9:AVN9 BFI9:BFJ9 BPE9:BPF9 BZA9:BZB9 CIW9:CIX9 CSS9:CST9 DCO9:DCP9 DMK9:DML9 DWG9:DWH9 EGC9:EGD9 EPY9:EPZ9 EZU9:EZV9 FJQ9:FJR9 FTM9:FTN9 GDI9:GDJ9 GNE9:GNF9 GXA9:GXB9 HGW9:HGX9 HQS9:HQT9 IAO9:IAP9 IKK9:IKL9 IUG9:IUH9 JEC9:JED9 JNY9:JNZ9 JXU9:JXV9 KHQ9:KHR9 KRM9:KRN9 LBI9:LBJ9 LLE9:LLF9 LVA9:LVB9 MEW9:MEX9 MOS9:MOT9 MYO9:MYP9 NIK9:NIL9 NSG9:NSH9 OCC9:OCD9 OLY9:OLZ9 OVU9:OVV9 PFQ9:PFR9 PPM9:PPN9 PZI9:PZJ9 QJE9:QJF9 QTA9:QTB9 RCW9:RCX9 RMS9:RMT9 RWO9:RWP9 SGK9:SGL9 SQG9:SQH9 TAC9:TAD9 TJY9:TJZ9 TTU9:TTV9 UDQ9:UDR9 UNM9:UNN9 UXI9:UXJ9 VHE9:VHF9 VRA9:VRB9 WAW9:WAX9 WKS9:WKT9 WUO9:WUP9 IF10 SB10 ABX10 ALT10 AVP10 BFL10 BPH10 BZD10 CIZ10 CSV10 DCR10 DMN10 DWJ10 EGF10 EQB10 EZX10 FJT10 FTP10 GDL10 GNH10 GXD10 HGZ10 HQV10 IAR10 IKN10 IUJ10 JEF10 JOB10 JXX10 KHT10 KRP10 LBL10 LLH10 LVD10 MEZ10 MOV10 MYR10 NIN10 NSJ10 OCF10 OMB10 OVX10 PFT10 PPP10 PZL10 QJH10 QTD10 RCZ10 RMV10 RWR10 SGN10 SQJ10 TAF10 TKB10 TTX10 UDT10 UNP10 UXL10 VHH10 VRD10 WAZ10 WKV10 WUR10 ID11 RZ11 ABV11 ALR11 AVN11 BFJ11 BPF11 BZB11 CIX11 CST11 DCP11 DML11 DWH11 EGD11 EPZ11 EZV11 FJR11 FTN11 GDJ11 GNF11 GXB11 HGX11 HQT11 IAP11 IKL11 IUH11 JED11 JNZ11 JXV11 KHR11 KRN11 LBJ11 LLF11 LVB11 MEX11 MOT11 MYP11 NIL11 NSH11 OCD11 OLZ11 OVV11 PFR11 PPN11 PZJ11 QJF11 QTB11 RCX11 RMT11 RWP11 SGL11 SQH11 TAD11 TJZ11 TTV11 UDR11 UNN11 UXJ11 VHF11 VRB11 WAX11 WKT11 WUP11 I65579:J65579 IC65579:ID65579 RY65579:RZ65579 ABU65579:ABV65579 ALQ65579:ALR65579 AVM65579:AVN65579 BFI65579:BFJ65579 BPE65579:BPF65579 BZA65579:BZB65579 CIW65579:CIX65579 CSS65579:CST65579 DCO65579:DCP65579 DMK65579:DML65579 DWG65579:DWH65579 EGC65579:EGD65579 EPY65579:EPZ65579 EZU65579:EZV65579 FJQ65579:FJR65579 FTM65579:FTN65579 GDI65579:GDJ65579 GNE65579:GNF65579 GXA65579:GXB65579 HGW65579:HGX65579 HQS65579:HQT65579 IAO65579:IAP65579 IKK65579:IKL65579 IUG65579:IUH65579 JEC65579:JED65579 JNY65579:JNZ65579 JXU65579:JXV65579 KHQ65579:KHR65579 KRM65579:KRN65579 LBI65579:LBJ65579 LLE65579:LLF65579 LVA65579:LVB65579 MEW65579:MEX65579 MOS65579:MOT65579 MYO65579:MYP65579 NIK65579:NIL65579 NSG65579:NSH65579 OCC65579:OCD65579 OLY65579:OLZ65579 OVU65579:OVV65579 PFQ65579:PFR65579 PPM65579:PPN65579 PZI65579:PZJ65579 QJE65579:QJF65579 QTA65579:QTB65579 RCW65579:RCX65579 RMS65579:RMT65579 RWO65579:RWP65579 SGK65579:SGL65579 SQG65579:SQH65579 TAC65579:TAD65579 TJY65579:TJZ65579 TTU65579:TTV65579 UDQ65579:UDR65579 UNM65579:UNN65579 UXI65579:UXJ65579 VHE65579:VHF65579 VRA65579:VRB65579 WAW65579:WAX65579 WKS65579:WKT65579 WUO65579:WUP65579 IF65580 SB65580 ABX65580 ALT65580 AVP65580 BFL65580 BPH65580 BZD65580 CIZ65580 CSV65580 DCR65580 DMN65580 DWJ65580 EGF65580 EQB65580 EZX65580 FJT65580 FTP65580 GDL65580 GNH65580 GXD65580 HGZ65580 HQV65580 IAR65580 IKN65580 IUJ65580 JEF65580 JOB65580 JXX65580 KHT65580 KRP65580 LBL65580 LLH65580 LVD65580 MEZ65580 MOV65580 MYR65580 NIN65580 NSJ65580 OCF65580 OMB65580 OVX65580 PFT65580 PPP65580 PZL65580 QJH65580 QTD65580 RCZ65580 RMV65580 RWR65580 SGN65580 SQJ65580 TAF65580 TKB65580 TTX65580 UDT65580 UNP65580 UXL65580 VHH65580 VRD65580 WAZ65580 WKV65580 WUR65580 ID65581 RZ65581 ABV65581 ALR65581 AVN65581 BFJ65581 BPF65581 BZB65581 CIX65581 CST65581 DCP65581 DML65581 DWH65581 EGD65581 EPZ65581 EZV65581 FJR65581 FTN65581 GDJ65581 GNF65581 GXB65581 HGX65581 HQT65581 IAP65581 IKL65581 IUH65581 JED65581 JNZ65581 JXV65581 KHR65581 KRN65581 LBJ65581 LLF65581 LVB65581 MEX65581 MOT65581 MYP65581 NIL65581 NSH65581 OCD65581 OLZ65581 OVV65581 PFR65581 PPN65581 PZJ65581 QJF65581 QTB65581 RCX65581 RMT65581 RWP65581 SGL65581 SQH65581 TAD65581 TJZ65581 TTV65581 UDR65581 UNN65581 UXJ65581 VHF65581 VRB65581 WAX65581 WKT65581 WUP65581 I131115:J131115 IC131115:ID131115 RY131115:RZ131115 ABU131115:ABV131115 ALQ131115:ALR131115 AVM131115:AVN131115 BFI131115:BFJ131115 BPE131115:BPF131115 BZA131115:BZB131115 CIW131115:CIX131115 CSS131115:CST131115 DCO131115:DCP131115 DMK131115:DML131115 DWG131115:DWH131115 EGC131115:EGD131115 EPY131115:EPZ131115 EZU131115:EZV131115 FJQ131115:FJR131115 FTM131115:FTN131115 GDI131115:GDJ131115 GNE131115:GNF131115 GXA131115:GXB131115 HGW131115:HGX131115 HQS131115:HQT131115 IAO131115:IAP131115 IKK131115:IKL131115 IUG131115:IUH131115 JEC131115:JED131115 JNY131115:JNZ131115 JXU131115:JXV131115 KHQ131115:KHR131115 KRM131115:KRN131115 LBI131115:LBJ131115 LLE131115:LLF131115 LVA131115:LVB131115 MEW131115:MEX131115 MOS131115:MOT131115 MYO131115:MYP131115 NIK131115:NIL131115 NSG131115:NSH131115 OCC131115:OCD131115 OLY131115:OLZ131115 OVU131115:OVV131115 PFQ131115:PFR131115 PPM131115:PPN131115 PZI131115:PZJ131115 QJE131115:QJF131115 QTA131115:QTB131115 RCW131115:RCX131115 RMS131115:RMT131115 RWO131115:RWP131115 SGK131115:SGL131115 SQG131115:SQH131115 TAC131115:TAD131115 TJY131115:TJZ131115 TTU131115:TTV131115 UDQ131115:UDR131115 UNM131115:UNN131115 UXI131115:UXJ131115 VHE131115:VHF131115 VRA131115:VRB131115 WAW131115:WAX131115 WKS131115:WKT131115 WUO131115:WUP131115 IF131116 SB131116 ABX131116 ALT131116 AVP131116 BFL131116 BPH131116 BZD131116 CIZ131116 CSV131116 DCR131116 DMN131116 DWJ131116 EGF131116 EQB131116 EZX131116 FJT131116 FTP131116 GDL131116 GNH131116 GXD131116 HGZ131116 HQV131116 IAR131116 IKN131116 IUJ131116 JEF131116 JOB131116 JXX131116 KHT131116 KRP131116 LBL131116 LLH131116 LVD131116 MEZ131116 MOV131116 MYR131116 NIN131116 NSJ131116 OCF131116 OMB131116 OVX131116 PFT131116 PPP131116 PZL131116 QJH131116 QTD131116 RCZ131116 RMV131116 RWR131116 SGN131116 SQJ131116 TAF131116 TKB131116 TTX131116 UDT131116 UNP131116 UXL131116 VHH131116 VRD131116 WAZ131116 WKV131116 WUR131116 ID131117 RZ131117 ABV131117 ALR131117 AVN131117 BFJ131117 BPF131117 BZB131117 CIX131117 CST131117 DCP131117 DML131117 DWH131117 EGD131117 EPZ131117 EZV131117 FJR131117 FTN131117 GDJ131117 GNF131117 GXB131117 HGX131117 HQT131117 IAP131117 IKL131117 IUH131117 JED131117 JNZ131117 JXV131117 KHR131117 KRN131117 LBJ131117 LLF131117 LVB131117 MEX131117 MOT131117 MYP131117 NIL131117 NSH131117 OCD131117 OLZ131117 OVV131117 PFR131117 PPN131117 PZJ131117 QJF131117 QTB131117 RCX131117 RMT131117 RWP131117 SGL131117 SQH131117 TAD131117 TJZ131117 TTV131117 UDR131117 UNN131117 UXJ131117 VHF131117 VRB131117 WAX131117 WKT131117 WUP131117 I196651:J196651 IC196651:ID196651 RY196651:RZ196651 ABU196651:ABV196651 ALQ196651:ALR196651 AVM196651:AVN196651 BFI196651:BFJ196651 BPE196651:BPF196651 BZA196651:BZB196651 CIW196651:CIX196651 CSS196651:CST196651 DCO196651:DCP196651 DMK196651:DML196651 DWG196651:DWH196651 EGC196651:EGD196651 EPY196651:EPZ196651 EZU196651:EZV196651 FJQ196651:FJR196651 FTM196651:FTN196651 GDI196651:GDJ196651 GNE196651:GNF196651 GXA196651:GXB196651 HGW196651:HGX196651 HQS196651:HQT196651 IAO196651:IAP196651 IKK196651:IKL196651 IUG196651:IUH196651 JEC196651:JED196651 JNY196651:JNZ196651 JXU196651:JXV196651 KHQ196651:KHR196651 KRM196651:KRN196651 LBI196651:LBJ196651 LLE196651:LLF196651 LVA196651:LVB196651 MEW196651:MEX196651 MOS196651:MOT196651 MYO196651:MYP196651 NIK196651:NIL196651 NSG196651:NSH196651 OCC196651:OCD196651 OLY196651:OLZ196651 OVU196651:OVV196651 PFQ196651:PFR196651 PPM196651:PPN196651 PZI196651:PZJ196651 QJE196651:QJF196651 QTA196651:QTB196651 RCW196651:RCX196651 RMS196651:RMT196651 RWO196651:RWP196651 SGK196651:SGL196651 SQG196651:SQH196651 TAC196651:TAD196651 TJY196651:TJZ196651 TTU196651:TTV196651 UDQ196651:UDR196651 UNM196651:UNN196651 UXI196651:UXJ196651 VHE196651:VHF196651 VRA196651:VRB196651 WAW196651:WAX196651 WKS196651:WKT196651 WUO196651:WUP196651 IF196652 SB196652 ABX196652 ALT196652 AVP196652 BFL196652 BPH196652 BZD196652 CIZ196652 CSV196652 DCR196652 DMN196652 DWJ196652 EGF196652 EQB196652 EZX196652 FJT196652 FTP196652 GDL196652 GNH196652 GXD196652 HGZ196652 HQV196652 IAR196652 IKN196652 IUJ196652 JEF196652 JOB196652 JXX196652 KHT196652 KRP196652 LBL196652 LLH196652 LVD196652 MEZ196652 MOV196652 MYR196652 NIN196652 NSJ196652 OCF196652 OMB196652 OVX196652 PFT196652 PPP196652 PZL196652 QJH196652 QTD196652 RCZ196652 RMV196652 RWR196652 SGN196652 SQJ196652 TAF196652 TKB196652 TTX196652 UDT196652 UNP196652 UXL196652 VHH196652 VRD196652 WAZ196652 WKV196652 WUR196652 ID196653 RZ196653 ABV196653 ALR196653 AVN196653 BFJ196653 BPF196653 BZB196653 CIX196653 CST196653 DCP196653 DML196653 DWH196653 EGD196653 EPZ196653 EZV196653 FJR196653 FTN196653 GDJ196653 GNF196653 GXB196653 HGX196653 HQT196653 IAP196653 IKL196653 IUH196653 JED196653 JNZ196653 JXV196653 KHR196653 KRN196653 LBJ196653 LLF196653 LVB196653 MEX196653 MOT196653 MYP196653 NIL196653 NSH196653 OCD196653 OLZ196653 OVV196653 PFR196653 PPN196653 PZJ196653 QJF196653 QTB196653 RCX196653 RMT196653 RWP196653 SGL196653 SQH196653 TAD196653 TJZ196653 TTV196653 UDR196653 UNN196653 UXJ196653 VHF196653 VRB196653 WAX196653 WKT196653 WUP196653 I262187:J262187 IC262187:ID262187 RY262187:RZ262187 ABU262187:ABV262187 ALQ262187:ALR262187 AVM262187:AVN262187 BFI262187:BFJ262187 BPE262187:BPF262187 BZA262187:BZB262187 CIW262187:CIX262187 CSS262187:CST262187 DCO262187:DCP262187 DMK262187:DML262187 DWG262187:DWH262187 EGC262187:EGD262187 EPY262187:EPZ262187 EZU262187:EZV262187 FJQ262187:FJR262187 FTM262187:FTN262187 GDI262187:GDJ262187 GNE262187:GNF262187 GXA262187:GXB262187 HGW262187:HGX262187 HQS262187:HQT262187 IAO262187:IAP262187 IKK262187:IKL262187 IUG262187:IUH262187 JEC262187:JED262187 JNY262187:JNZ262187 JXU262187:JXV262187 KHQ262187:KHR262187 KRM262187:KRN262187 LBI262187:LBJ262187 LLE262187:LLF262187 LVA262187:LVB262187 MEW262187:MEX262187 MOS262187:MOT262187 MYO262187:MYP262187 NIK262187:NIL262187 NSG262187:NSH262187 OCC262187:OCD262187 OLY262187:OLZ262187 OVU262187:OVV262187 PFQ262187:PFR262187 PPM262187:PPN262187 PZI262187:PZJ262187 QJE262187:QJF262187 QTA262187:QTB262187 RCW262187:RCX262187 RMS262187:RMT262187 RWO262187:RWP262187 SGK262187:SGL262187 SQG262187:SQH262187 TAC262187:TAD262187 TJY262187:TJZ262187 TTU262187:TTV262187 UDQ262187:UDR262187 UNM262187:UNN262187 UXI262187:UXJ262187 VHE262187:VHF262187 VRA262187:VRB262187 WAW262187:WAX262187 WKS262187:WKT262187 WUO262187:WUP262187 IF262188 SB262188 ABX262188 ALT262188 AVP262188 BFL262188 BPH262188 BZD262188 CIZ262188 CSV262188 DCR262188 DMN262188 DWJ262188 EGF262188 EQB262188 EZX262188 FJT262188 FTP262188 GDL262188 GNH262188 GXD262188 HGZ262188 HQV262188 IAR262188 IKN262188 IUJ262188 JEF262188 JOB262188 JXX262188 KHT262188 KRP262188 LBL262188 LLH262188 LVD262188 MEZ262188 MOV262188 MYR262188 NIN262188 NSJ262188 OCF262188 OMB262188 OVX262188 PFT262188 PPP262188 PZL262188 QJH262188 QTD262188 RCZ262188 RMV262188 RWR262188 SGN262188 SQJ262188 TAF262188 TKB262188 TTX262188 UDT262188 UNP262188 UXL262188 VHH262188 VRD262188 WAZ262188 WKV262188 WUR262188 ID262189 RZ262189 ABV262189 ALR262189 AVN262189 BFJ262189 BPF262189 BZB262189 CIX262189 CST262189 DCP262189 DML262189 DWH262189 EGD262189 EPZ262189 EZV262189 FJR262189 FTN262189 GDJ262189 GNF262189 GXB262189 HGX262189 HQT262189 IAP262189 IKL262189 IUH262189 JED262189 JNZ262189 JXV262189 KHR262189 KRN262189 LBJ262189 LLF262189 LVB262189 MEX262189 MOT262189 MYP262189 NIL262189 NSH262189 OCD262189 OLZ262189 OVV262189 PFR262189 PPN262189 PZJ262189 QJF262189 QTB262189 RCX262189 RMT262189 RWP262189 SGL262189 SQH262189 TAD262189 TJZ262189 TTV262189 UDR262189 UNN262189 UXJ262189 VHF262189 VRB262189 WAX262189 WKT262189 WUP262189 I327723:J327723 IC327723:ID327723 RY327723:RZ327723 ABU327723:ABV327723 ALQ327723:ALR327723 AVM327723:AVN327723 BFI327723:BFJ327723 BPE327723:BPF327723 BZA327723:BZB327723 CIW327723:CIX327723 CSS327723:CST327723 DCO327723:DCP327723 DMK327723:DML327723 DWG327723:DWH327723 EGC327723:EGD327723 EPY327723:EPZ327723 EZU327723:EZV327723 FJQ327723:FJR327723 FTM327723:FTN327723 GDI327723:GDJ327723 GNE327723:GNF327723 GXA327723:GXB327723 HGW327723:HGX327723 HQS327723:HQT327723 IAO327723:IAP327723 IKK327723:IKL327723 IUG327723:IUH327723 JEC327723:JED327723 JNY327723:JNZ327723 JXU327723:JXV327723 KHQ327723:KHR327723 KRM327723:KRN327723 LBI327723:LBJ327723 LLE327723:LLF327723 LVA327723:LVB327723 MEW327723:MEX327723 MOS327723:MOT327723 MYO327723:MYP327723 NIK327723:NIL327723 NSG327723:NSH327723 OCC327723:OCD327723 OLY327723:OLZ327723 OVU327723:OVV327723 PFQ327723:PFR327723 PPM327723:PPN327723 PZI327723:PZJ327723 QJE327723:QJF327723 QTA327723:QTB327723 RCW327723:RCX327723 RMS327723:RMT327723 RWO327723:RWP327723 SGK327723:SGL327723 SQG327723:SQH327723 TAC327723:TAD327723 TJY327723:TJZ327723 TTU327723:TTV327723 UDQ327723:UDR327723 UNM327723:UNN327723 UXI327723:UXJ327723 VHE327723:VHF327723 VRA327723:VRB327723 WAW327723:WAX327723 WKS327723:WKT327723 WUO327723:WUP327723 IF327724 SB327724 ABX327724 ALT327724 AVP327724 BFL327724 BPH327724 BZD327724 CIZ327724 CSV327724 DCR327724 DMN327724 DWJ327724 EGF327724 EQB327724 EZX327724 FJT327724 FTP327724 GDL327724 GNH327724 GXD327724 HGZ327724 HQV327724 IAR327724 IKN327724 IUJ327724 JEF327724 JOB327724 JXX327724 KHT327724 KRP327724 LBL327724 LLH327724 LVD327724 MEZ327724 MOV327724 MYR327724 NIN327724 NSJ327724 OCF327724 OMB327724 OVX327724 PFT327724 PPP327724 PZL327724 QJH327724 QTD327724 RCZ327724 RMV327724 RWR327724 SGN327724 SQJ327724 TAF327724 TKB327724 TTX327724 UDT327724 UNP327724 UXL327724 VHH327724 VRD327724 WAZ327724 WKV327724 WUR327724 ID327725 RZ327725 ABV327725 ALR327725 AVN327725 BFJ327725 BPF327725 BZB327725 CIX327725 CST327725 DCP327725 DML327725 DWH327725 EGD327725 EPZ327725 EZV327725 FJR327725 FTN327725 GDJ327725 GNF327725 GXB327725 HGX327725 HQT327725 IAP327725 IKL327725 IUH327725 JED327725 JNZ327725 JXV327725 KHR327725 KRN327725 LBJ327725 LLF327725 LVB327725 MEX327725 MOT327725 MYP327725 NIL327725 NSH327725 OCD327725 OLZ327725 OVV327725 PFR327725 PPN327725 PZJ327725 QJF327725 QTB327725 RCX327725 RMT327725 RWP327725 SGL327725 SQH327725 TAD327725 TJZ327725 TTV327725 UDR327725 UNN327725 UXJ327725 VHF327725 VRB327725 WAX327725 WKT327725 WUP327725 I393259:J393259 IC393259:ID393259 RY393259:RZ393259 ABU393259:ABV393259 ALQ393259:ALR393259 AVM393259:AVN393259 BFI393259:BFJ393259 BPE393259:BPF393259 BZA393259:BZB393259 CIW393259:CIX393259 CSS393259:CST393259 DCO393259:DCP393259 DMK393259:DML393259 DWG393259:DWH393259 EGC393259:EGD393259 EPY393259:EPZ393259 EZU393259:EZV393259 FJQ393259:FJR393259 FTM393259:FTN393259 GDI393259:GDJ393259 GNE393259:GNF393259 GXA393259:GXB393259 HGW393259:HGX393259 HQS393259:HQT393259 IAO393259:IAP393259 IKK393259:IKL393259 IUG393259:IUH393259 JEC393259:JED393259 JNY393259:JNZ393259 JXU393259:JXV393259 KHQ393259:KHR393259 KRM393259:KRN393259 LBI393259:LBJ393259 LLE393259:LLF393259 LVA393259:LVB393259 MEW393259:MEX393259 MOS393259:MOT393259 MYO393259:MYP393259 NIK393259:NIL393259 NSG393259:NSH393259 OCC393259:OCD393259 OLY393259:OLZ393259 OVU393259:OVV393259 PFQ393259:PFR393259 PPM393259:PPN393259 PZI393259:PZJ393259 QJE393259:QJF393259 QTA393259:QTB393259 RCW393259:RCX393259 RMS393259:RMT393259 RWO393259:RWP393259 SGK393259:SGL393259 SQG393259:SQH393259 TAC393259:TAD393259 TJY393259:TJZ393259 TTU393259:TTV393259 UDQ393259:UDR393259 UNM393259:UNN393259 UXI393259:UXJ393259 VHE393259:VHF393259 VRA393259:VRB393259 WAW393259:WAX393259 WKS393259:WKT393259 WUO393259:WUP393259 IF393260 SB393260 ABX393260 ALT393260 AVP393260 BFL393260 BPH393260 BZD393260 CIZ393260 CSV393260 DCR393260 DMN393260 DWJ393260 EGF393260 EQB393260 EZX393260 FJT393260 FTP393260 GDL393260 GNH393260 GXD393260 HGZ393260 HQV393260 IAR393260 IKN393260 IUJ393260 JEF393260 JOB393260 JXX393260 KHT393260 KRP393260 LBL393260 LLH393260 LVD393260 MEZ393260 MOV393260 MYR393260 NIN393260 NSJ393260 OCF393260 OMB393260 OVX393260 PFT393260 PPP393260 PZL393260 QJH393260 QTD393260 RCZ393260 RMV393260 RWR393260 SGN393260 SQJ393260 TAF393260 TKB393260 TTX393260 UDT393260 UNP393260 UXL393260 VHH393260 VRD393260 WAZ393260 WKV393260 WUR393260 ID393261 RZ393261 ABV393261 ALR393261 AVN393261 BFJ393261 BPF393261 BZB393261 CIX393261 CST393261 DCP393261 DML393261 DWH393261 EGD393261 EPZ393261 EZV393261 FJR393261 FTN393261 GDJ393261 GNF393261 GXB393261 HGX393261 HQT393261 IAP393261 IKL393261 IUH393261 JED393261 JNZ393261 JXV393261 KHR393261 KRN393261 LBJ393261 LLF393261 LVB393261 MEX393261 MOT393261 MYP393261 NIL393261 NSH393261 OCD393261 OLZ393261 OVV393261 PFR393261 PPN393261 PZJ393261 QJF393261 QTB393261 RCX393261 RMT393261 RWP393261 SGL393261 SQH393261 TAD393261 TJZ393261 TTV393261 UDR393261 UNN393261 UXJ393261 VHF393261 VRB393261 WAX393261 WKT393261 WUP393261 I458795:J458795 IC458795:ID458795 RY458795:RZ458795 ABU458795:ABV458795 ALQ458795:ALR458795 AVM458795:AVN458795 BFI458795:BFJ458795 BPE458795:BPF458795 BZA458795:BZB458795 CIW458795:CIX458795 CSS458795:CST458795 DCO458795:DCP458795 DMK458795:DML458795 DWG458795:DWH458795 EGC458795:EGD458795 EPY458795:EPZ458795 EZU458795:EZV458795 FJQ458795:FJR458795 FTM458795:FTN458795 GDI458795:GDJ458795 GNE458795:GNF458795 GXA458795:GXB458795 HGW458795:HGX458795 HQS458795:HQT458795 IAO458795:IAP458795 IKK458795:IKL458795 IUG458795:IUH458795 JEC458795:JED458795 JNY458795:JNZ458795 JXU458795:JXV458795 KHQ458795:KHR458795 KRM458795:KRN458795 LBI458795:LBJ458795 LLE458795:LLF458795 LVA458795:LVB458795 MEW458795:MEX458795 MOS458795:MOT458795 MYO458795:MYP458795 NIK458795:NIL458795 NSG458795:NSH458795 OCC458795:OCD458795 OLY458795:OLZ458795 OVU458795:OVV458795 PFQ458795:PFR458795 PPM458795:PPN458795 PZI458795:PZJ458795 QJE458795:QJF458795 QTA458795:QTB458795 RCW458795:RCX458795 RMS458795:RMT458795 RWO458795:RWP458795 SGK458795:SGL458795 SQG458795:SQH458795 TAC458795:TAD458795 TJY458795:TJZ458795 TTU458795:TTV458795 UDQ458795:UDR458795 UNM458795:UNN458795 UXI458795:UXJ458795 VHE458795:VHF458795 VRA458795:VRB458795 WAW458795:WAX458795 WKS458795:WKT458795 WUO458795:WUP458795 IF458796 SB458796 ABX458796 ALT458796 AVP458796 BFL458796 BPH458796 BZD458796 CIZ458796 CSV458796 DCR458796 DMN458796 DWJ458796 EGF458796 EQB458796 EZX458796 FJT458796 FTP458796 GDL458796 GNH458796 GXD458796 HGZ458796 HQV458796 IAR458796 IKN458796 IUJ458796 JEF458796 JOB458796 JXX458796 KHT458796 KRP458796 LBL458796 LLH458796 LVD458796 MEZ458796 MOV458796 MYR458796 NIN458796 NSJ458796 OCF458796 OMB458796 OVX458796 PFT458796 PPP458796 PZL458796 QJH458796 QTD458796 RCZ458796 RMV458796 RWR458796 SGN458796 SQJ458796 TAF458796 TKB458796 TTX458796 UDT458796 UNP458796 UXL458796 VHH458796 VRD458796 WAZ458796 WKV458796 WUR458796 ID458797 RZ458797 ABV458797 ALR458797 AVN458797 BFJ458797 BPF458797 BZB458797 CIX458797 CST458797 DCP458797 DML458797 DWH458797 EGD458797 EPZ458797 EZV458797 FJR458797 FTN458797 GDJ458797 GNF458797 GXB458797 HGX458797 HQT458797 IAP458797 IKL458797 IUH458797 JED458797 JNZ458797 JXV458797 KHR458797 KRN458797 LBJ458797 LLF458797 LVB458797 MEX458797 MOT458797 MYP458797 NIL458797 NSH458797 OCD458797 OLZ458797 OVV458797 PFR458797 PPN458797 PZJ458797 QJF458797 QTB458797 RCX458797 RMT458797 RWP458797 SGL458797 SQH458797 TAD458797 TJZ458797 TTV458797 UDR458797 UNN458797 UXJ458797 VHF458797 VRB458797 WAX458797 WKT458797 WUP458797 I524331:J524331 IC524331:ID524331 RY524331:RZ524331 ABU524331:ABV524331 ALQ524331:ALR524331 AVM524331:AVN524331 BFI524331:BFJ524331 BPE524331:BPF524331 BZA524331:BZB524331 CIW524331:CIX524331 CSS524331:CST524331 DCO524331:DCP524331 DMK524331:DML524331 DWG524331:DWH524331 EGC524331:EGD524331 EPY524331:EPZ524331 EZU524331:EZV524331 FJQ524331:FJR524331 FTM524331:FTN524331 GDI524331:GDJ524331 GNE524331:GNF524331 GXA524331:GXB524331 HGW524331:HGX524331 HQS524331:HQT524331 IAO524331:IAP524331 IKK524331:IKL524331 IUG524331:IUH524331 JEC524331:JED524331 JNY524331:JNZ524331 JXU524331:JXV524331 KHQ524331:KHR524331 KRM524331:KRN524331 LBI524331:LBJ524331 LLE524331:LLF524331 LVA524331:LVB524331 MEW524331:MEX524331 MOS524331:MOT524331 MYO524331:MYP524331 NIK524331:NIL524331 NSG524331:NSH524331 OCC524331:OCD524331 OLY524331:OLZ524331 OVU524331:OVV524331 PFQ524331:PFR524331 PPM524331:PPN524331 PZI524331:PZJ524331 QJE524331:QJF524331 QTA524331:QTB524331 RCW524331:RCX524331 RMS524331:RMT524331 RWO524331:RWP524331 SGK524331:SGL524331 SQG524331:SQH524331 TAC524331:TAD524331 TJY524331:TJZ524331 TTU524331:TTV524331 UDQ524331:UDR524331 UNM524331:UNN524331 UXI524331:UXJ524331 VHE524331:VHF524331 VRA524331:VRB524331 WAW524331:WAX524331 WKS524331:WKT524331 WUO524331:WUP524331 IF524332 SB524332 ABX524332 ALT524332 AVP524332 BFL524332 BPH524332 BZD524332 CIZ524332 CSV524332 DCR524332 DMN524332 DWJ524332 EGF524332 EQB524332 EZX524332 FJT524332 FTP524332 GDL524332 GNH524332 GXD524332 HGZ524332 HQV524332 IAR524332 IKN524332 IUJ524332 JEF524332 JOB524332 JXX524332 KHT524332 KRP524332 LBL524332 LLH524332 LVD524332 MEZ524332 MOV524332 MYR524332 NIN524332 NSJ524332 OCF524332 OMB524332 OVX524332 PFT524332 PPP524332 PZL524332 QJH524332 QTD524332 RCZ524332 RMV524332 RWR524332 SGN524332 SQJ524332 TAF524332 TKB524332 TTX524332 UDT524332 UNP524332 UXL524332 VHH524332 VRD524332 WAZ524332 WKV524332 WUR524332 ID524333 RZ524333 ABV524333 ALR524333 AVN524333 BFJ524333 BPF524333 BZB524333 CIX524333 CST524333 DCP524333 DML524333 DWH524333 EGD524333 EPZ524333 EZV524333 FJR524333 FTN524333 GDJ524333 GNF524333 GXB524333 HGX524333 HQT524333 IAP524333 IKL524333 IUH524333 JED524333 JNZ524333 JXV524333 KHR524333 KRN524333 LBJ524333 LLF524333 LVB524333 MEX524333 MOT524333 MYP524333 NIL524333 NSH524333 OCD524333 OLZ524333 OVV524333 PFR524333 PPN524333 PZJ524333 QJF524333 QTB524333 RCX524333 RMT524333 RWP524333 SGL524333 SQH524333 TAD524333 TJZ524333 TTV524333 UDR524333 UNN524333 UXJ524333 VHF524333 VRB524333 WAX524333 WKT524333 WUP524333 I589867:J589867 IC589867:ID589867 RY589867:RZ589867 ABU589867:ABV589867 ALQ589867:ALR589867 AVM589867:AVN589867 BFI589867:BFJ589867 BPE589867:BPF589867 BZA589867:BZB589867 CIW589867:CIX589867 CSS589867:CST589867 DCO589867:DCP589867 DMK589867:DML589867 DWG589867:DWH589867 EGC589867:EGD589867 EPY589867:EPZ589867 EZU589867:EZV589867 FJQ589867:FJR589867 FTM589867:FTN589867 GDI589867:GDJ589867 GNE589867:GNF589867 GXA589867:GXB589867 HGW589867:HGX589867 HQS589867:HQT589867 IAO589867:IAP589867 IKK589867:IKL589867 IUG589867:IUH589867 JEC589867:JED589867 JNY589867:JNZ589867 JXU589867:JXV589867 KHQ589867:KHR589867 KRM589867:KRN589867 LBI589867:LBJ589867 LLE589867:LLF589867 LVA589867:LVB589867 MEW589867:MEX589867 MOS589867:MOT589867 MYO589867:MYP589867 NIK589867:NIL589867 NSG589867:NSH589867 OCC589867:OCD589867 OLY589867:OLZ589867 OVU589867:OVV589867 PFQ589867:PFR589867 PPM589867:PPN589867 PZI589867:PZJ589867 QJE589867:QJF589867 QTA589867:QTB589867 RCW589867:RCX589867 RMS589867:RMT589867 RWO589867:RWP589867 SGK589867:SGL589867 SQG589867:SQH589867 TAC589867:TAD589867 TJY589867:TJZ589867 TTU589867:TTV589867 UDQ589867:UDR589867 UNM589867:UNN589867 UXI589867:UXJ589867 VHE589867:VHF589867 VRA589867:VRB589867 WAW589867:WAX589867 WKS589867:WKT589867 WUO589867:WUP589867 IF589868 SB589868 ABX589868 ALT589868 AVP589868 BFL589868 BPH589868 BZD589868 CIZ589868 CSV589868 DCR589868 DMN589868 DWJ589868 EGF589868 EQB589868 EZX589868 FJT589868 FTP589868 GDL589868 GNH589868 GXD589868 HGZ589868 HQV589868 IAR589868 IKN589868 IUJ589868 JEF589868 JOB589868 JXX589868 KHT589868 KRP589868 LBL589868 LLH589868 LVD589868 MEZ589868 MOV589868 MYR589868 NIN589868 NSJ589868 OCF589868 OMB589868 OVX589868 PFT589868 PPP589868 PZL589868 QJH589868 QTD589868 RCZ589868 RMV589868 RWR589868 SGN589868 SQJ589868 TAF589868 TKB589868 TTX589868 UDT589868 UNP589868 UXL589868 VHH589868 VRD589868 WAZ589868 WKV589868 WUR589868 ID589869 RZ589869 ABV589869 ALR589869 AVN589869 BFJ589869 BPF589869 BZB589869 CIX589869 CST589869 DCP589869 DML589869 DWH589869 EGD589869 EPZ589869 EZV589869 FJR589869 FTN589869 GDJ589869 GNF589869 GXB589869 HGX589869 HQT589869 IAP589869 IKL589869 IUH589869 JED589869 JNZ589869 JXV589869 KHR589869 KRN589869 LBJ589869 LLF589869 LVB589869 MEX589869 MOT589869 MYP589869 NIL589869 NSH589869 OCD589869 OLZ589869 OVV589869 PFR589869 PPN589869 PZJ589869 QJF589869 QTB589869 RCX589869 RMT589869 RWP589869 SGL589869 SQH589869 TAD589869 TJZ589869 TTV589869 UDR589869 UNN589869 UXJ589869 VHF589869 VRB589869 WAX589869 WKT589869 WUP589869 I655403:J655403 IC655403:ID655403 RY655403:RZ655403 ABU655403:ABV655403 ALQ655403:ALR655403 AVM655403:AVN655403 BFI655403:BFJ655403 BPE655403:BPF655403 BZA655403:BZB655403 CIW655403:CIX655403 CSS655403:CST655403 DCO655403:DCP655403 DMK655403:DML655403 DWG655403:DWH655403 EGC655403:EGD655403 EPY655403:EPZ655403 EZU655403:EZV655403 FJQ655403:FJR655403 FTM655403:FTN655403 GDI655403:GDJ655403 GNE655403:GNF655403 GXA655403:GXB655403 HGW655403:HGX655403 HQS655403:HQT655403 IAO655403:IAP655403 IKK655403:IKL655403 IUG655403:IUH655403 JEC655403:JED655403 JNY655403:JNZ655403 JXU655403:JXV655403 KHQ655403:KHR655403 KRM655403:KRN655403 LBI655403:LBJ655403 LLE655403:LLF655403 LVA655403:LVB655403 MEW655403:MEX655403 MOS655403:MOT655403 MYO655403:MYP655403 NIK655403:NIL655403 NSG655403:NSH655403 OCC655403:OCD655403 OLY655403:OLZ655403 OVU655403:OVV655403 PFQ655403:PFR655403 PPM655403:PPN655403 PZI655403:PZJ655403 QJE655403:QJF655403 QTA655403:QTB655403 RCW655403:RCX655403 RMS655403:RMT655403 RWO655403:RWP655403 SGK655403:SGL655403 SQG655403:SQH655403 TAC655403:TAD655403 TJY655403:TJZ655403 TTU655403:TTV655403 UDQ655403:UDR655403 UNM655403:UNN655403 UXI655403:UXJ655403 VHE655403:VHF655403 VRA655403:VRB655403 WAW655403:WAX655403 WKS655403:WKT655403 WUO655403:WUP655403 IF655404 SB655404 ABX655404 ALT655404 AVP655404 BFL655404 BPH655404 BZD655404 CIZ655404 CSV655404 DCR655404 DMN655404 DWJ655404 EGF655404 EQB655404 EZX655404 FJT655404 FTP655404 GDL655404 GNH655404 GXD655404 HGZ655404 HQV655404 IAR655404 IKN655404 IUJ655404 JEF655404 JOB655404 JXX655404 KHT655404 KRP655404 LBL655404 LLH655404 LVD655404 MEZ655404 MOV655404 MYR655404 NIN655404 NSJ655404 OCF655404 OMB655404 OVX655404 PFT655404 PPP655404 PZL655404 QJH655404 QTD655404 RCZ655404 RMV655404 RWR655404 SGN655404 SQJ655404 TAF655404 TKB655404 TTX655404 UDT655404 UNP655404 UXL655404 VHH655404 VRD655404 WAZ655404 WKV655404 WUR655404 ID655405 RZ655405 ABV655405 ALR655405 AVN655405 BFJ655405 BPF655405 BZB655405 CIX655405 CST655405 DCP655405 DML655405 DWH655405 EGD655405 EPZ655405 EZV655405 FJR655405 FTN655405 GDJ655405 GNF655405 GXB655405 HGX655405 HQT655405 IAP655405 IKL655405 IUH655405 JED655405 JNZ655405 JXV655405 KHR655405 KRN655405 LBJ655405 LLF655405 LVB655405 MEX655405 MOT655405 MYP655405 NIL655405 NSH655405 OCD655405 OLZ655405 OVV655405 PFR655405 PPN655405 PZJ655405 QJF655405 QTB655405 RCX655405 RMT655405 RWP655405 SGL655405 SQH655405 TAD655405 TJZ655405 TTV655405 UDR655405 UNN655405 UXJ655405 VHF655405 VRB655405 WAX655405 WKT655405 WUP655405 I720939:J720939 IC720939:ID720939 RY720939:RZ720939 ABU720939:ABV720939 ALQ720939:ALR720939 AVM720939:AVN720939 BFI720939:BFJ720939 BPE720939:BPF720939 BZA720939:BZB720939 CIW720939:CIX720939 CSS720939:CST720939 DCO720939:DCP720939 DMK720939:DML720939 DWG720939:DWH720939 EGC720939:EGD720939 EPY720939:EPZ720939 EZU720939:EZV720939 FJQ720939:FJR720939 FTM720939:FTN720939 GDI720939:GDJ720939 GNE720939:GNF720939 GXA720939:GXB720939 HGW720939:HGX720939 HQS720939:HQT720939 IAO720939:IAP720939 IKK720939:IKL720939 IUG720939:IUH720939 JEC720939:JED720939 JNY720939:JNZ720939 JXU720939:JXV720939 KHQ720939:KHR720939 KRM720939:KRN720939 LBI720939:LBJ720939 LLE720939:LLF720939 LVA720939:LVB720939 MEW720939:MEX720939 MOS720939:MOT720939 MYO720939:MYP720939 NIK720939:NIL720939 NSG720939:NSH720939 OCC720939:OCD720939 OLY720939:OLZ720939 OVU720939:OVV720939 PFQ720939:PFR720939 PPM720939:PPN720939 PZI720939:PZJ720939 QJE720939:QJF720939 QTA720939:QTB720939 RCW720939:RCX720939 RMS720939:RMT720939 RWO720939:RWP720939 SGK720939:SGL720939 SQG720939:SQH720939 TAC720939:TAD720939 TJY720939:TJZ720939 TTU720939:TTV720939 UDQ720939:UDR720939 UNM720939:UNN720939 UXI720939:UXJ720939 VHE720939:VHF720939 VRA720939:VRB720939 WAW720939:WAX720939 WKS720939:WKT720939 WUO720939:WUP720939 IF720940 SB720940 ABX720940 ALT720940 AVP720940 BFL720940 BPH720940 BZD720940 CIZ720940 CSV720940 DCR720940 DMN720940 DWJ720940 EGF720940 EQB720940 EZX720940 FJT720940 FTP720940 GDL720940 GNH720940 GXD720940 HGZ720940 HQV720940 IAR720940 IKN720940 IUJ720940 JEF720940 JOB720940 JXX720940 KHT720940 KRP720940 LBL720940 LLH720940 LVD720940 MEZ720940 MOV720940 MYR720940 NIN720940 NSJ720940 OCF720940 OMB720940 OVX720940 PFT720940 PPP720940 PZL720940 QJH720940 QTD720940 RCZ720940 RMV720940 RWR720940 SGN720940 SQJ720940 TAF720940 TKB720940 TTX720940 UDT720940 UNP720940 UXL720940 VHH720940 VRD720940 WAZ720940 WKV720940 WUR720940 ID720941 RZ720941 ABV720941 ALR720941 AVN720941 BFJ720941 BPF720941 BZB720941 CIX720941 CST720941 DCP720941 DML720941 DWH720941 EGD720941 EPZ720941 EZV720941 FJR720941 FTN720941 GDJ720941 GNF720941 GXB720941 HGX720941 HQT720941 IAP720941 IKL720941 IUH720941 JED720941 JNZ720941 JXV720941 KHR720941 KRN720941 LBJ720941 LLF720941 LVB720941 MEX720941 MOT720941 MYP720941 NIL720941 NSH720941 OCD720941 OLZ720941 OVV720941 PFR720941 PPN720941 PZJ720941 QJF720941 QTB720941 RCX720941 RMT720941 RWP720941 SGL720941 SQH720941 TAD720941 TJZ720941 TTV720941 UDR720941 UNN720941 UXJ720941 VHF720941 VRB720941 WAX720941 WKT720941 WUP720941 I786475:J786475 IC786475:ID786475 RY786475:RZ786475 ABU786475:ABV786475 ALQ786475:ALR786475 AVM786475:AVN786475 BFI786475:BFJ786475 BPE786475:BPF786475 BZA786475:BZB786475 CIW786475:CIX786475 CSS786475:CST786475 DCO786475:DCP786475 DMK786475:DML786475 DWG786475:DWH786475 EGC786475:EGD786475 EPY786475:EPZ786475 EZU786475:EZV786475 FJQ786475:FJR786475 FTM786475:FTN786475 GDI786475:GDJ786475 GNE786475:GNF786475 GXA786475:GXB786475 HGW786475:HGX786475 HQS786475:HQT786475 IAO786475:IAP786475 IKK786475:IKL786475 IUG786475:IUH786475 JEC786475:JED786475 JNY786475:JNZ786475 JXU786475:JXV786475 KHQ786475:KHR786475 KRM786475:KRN786475 LBI786475:LBJ786475 LLE786475:LLF786475 LVA786475:LVB786475 MEW786475:MEX786475 MOS786475:MOT786475 MYO786475:MYP786475 NIK786475:NIL786475 NSG786475:NSH786475 OCC786475:OCD786475 OLY786475:OLZ786475 OVU786475:OVV786475 PFQ786475:PFR786475 PPM786475:PPN786475 PZI786475:PZJ786475 QJE786475:QJF786475 QTA786475:QTB786475 RCW786475:RCX786475 RMS786475:RMT786475 RWO786475:RWP786475 SGK786475:SGL786475 SQG786475:SQH786475 TAC786475:TAD786475 TJY786475:TJZ786475 TTU786475:TTV786475 UDQ786475:UDR786475 UNM786475:UNN786475 UXI786475:UXJ786475 VHE786475:VHF786475 VRA786475:VRB786475 WAW786475:WAX786475 WKS786475:WKT786475 WUO786475:WUP786475 IF786476 SB786476 ABX786476 ALT786476 AVP786476 BFL786476 BPH786476 BZD786476 CIZ786476 CSV786476 DCR786476 DMN786476 DWJ786476 EGF786476 EQB786476 EZX786476 FJT786476 FTP786476 GDL786476 GNH786476 GXD786476 HGZ786476 HQV786476 IAR786476 IKN786476 IUJ786476 JEF786476 JOB786476 JXX786476 KHT786476 KRP786476 LBL786476 LLH786476 LVD786476 MEZ786476 MOV786476 MYR786476 NIN786476 NSJ786476 OCF786476 OMB786476 OVX786476 PFT786476 PPP786476 PZL786476 QJH786476 QTD786476 RCZ786476 RMV786476 RWR786476 SGN786476 SQJ786476 TAF786476 TKB786476 TTX786476 UDT786476 UNP786476 UXL786476 VHH786476 VRD786476 WAZ786476 WKV786476 WUR786476 ID786477 RZ786477 ABV786477 ALR786477 AVN786477 BFJ786477 BPF786477 BZB786477 CIX786477 CST786477 DCP786477 DML786477 DWH786477 EGD786477 EPZ786477 EZV786477 FJR786477 FTN786477 GDJ786477 GNF786477 GXB786477 HGX786477 HQT786477 IAP786477 IKL786477 IUH786477 JED786477 JNZ786477 JXV786477 KHR786477 KRN786477 LBJ786477 LLF786477 LVB786477 MEX786477 MOT786477 MYP786477 NIL786477 NSH786477 OCD786477 OLZ786477 OVV786477 PFR786477 PPN786477 PZJ786477 QJF786477 QTB786477 RCX786477 RMT786477 RWP786477 SGL786477 SQH786477 TAD786477 TJZ786477 TTV786477 UDR786477 UNN786477 UXJ786477 VHF786477 VRB786477 WAX786477 WKT786477 WUP786477 I852011:J852011 IC852011:ID852011 RY852011:RZ852011 ABU852011:ABV852011 ALQ852011:ALR852011 AVM852011:AVN852011 BFI852011:BFJ852011 BPE852011:BPF852011 BZA852011:BZB852011 CIW852011:CIX852011 CSS852011:CST852011 DCO852011:DCP852011 DMK852011:DML852011 DWG852011:DWH852011 EGC852011:EGD852011 EPY852011:EPZ852011 EZU852011:EZV852011 FJQ852011:FJR852011 FTM852011:FTN852011 GDI852011:GDJ852011 GNE852011:GNF852011 GXA852011:GXB852011 HGW852011:HGX852011 HQS852011:HQT852011 IAO852011:IAP852011 IKK852011:IKL852011 IUG852011:IUH852011 JEC852011:JED852011 JNY852011:JNZ852011 JXU852011:JXV852011 KHQ852011:KHR852011 KRM852011:KRN852011 LBI852011:LBJ852011 LLE852011:LLF852011 LVA852011:LVB852011 MEW852011:MEX852011 MOS852011:MOT852011 MYO852011:MYP852011 NIK852011:NIL852011 NSG852011:NSH852011 OCC852011:OCD852011 OLY852011:OLZ852011 OVU852011:OVV852011 PFQ852011:PFR852011 PPM852011:PPN852011 PZI852011:PZJ852011 QJE852011:QJF852011 QTA852011:QTB852011 RCW852011:RCX852011 RMS852011:RMT852011 RWO852011:RWP852011 SGK852011:SGL852011 SQG852011:SQH852011 TAC852011:TAD852011 TJY852011:TJZ852011 TTU852011:TTV852011 UDQ852011:UDR852011 UNM852011:UNN852011 UXI852011:UXJ852011 VHE852011:VHF852011 VRA852011:VRB852011 WAW852011:WAX852011 WKS852011:WKT852011 WUO852011:WUP852011 IF852012 SB852012 ABX852012 ALT852012 AVP852012 BFL852012 BPH852012 BZD852012 CIZ852012 CSV852012 DCR852012 DMN852012 DWJ852012 EGF852012 EQB852012 EZX852012 FJT852012 FTP852012 GDL852012 GNH852012 GXD852012 HGZ852012 HQV852012 IAR852012 IKN852012 IUJ852012 JEF852012 JOB852012 JXX852012 KHT852012 KRP852012 LBL852012 LLH852012 LVD852012 MEZ852012 MOV852012 MYR852012 NIN852012 NSJ852012 OCF852012 OMB852012 OVX852012 PFT852012 PPP852012 PZL852012 QJH852012 QTD852012 RCZ852012 RMV852012 RWR852012 SGN852012 SQJ852012 TAF852012 TKB852012 TTX852012 UDT852012 UNP852012 UXL852012 VHH852012 VRD852012 WAZ852012 WKV852012 WUR852012 ID852013 RZ852013 ABV852013 ALR852013 AVN852013 BFJ852013 BPF852013 BZB852013 CIX852013 CST852013 DCP852013 DML852013 DWH852013 EGD852013 EPZ852013 EZV852013 FJR852013 FTN852013 GDJ852013 GNF852013 GXB852013 HGX852013 HQT852013 IAP852013 IKL852013 IUH852013 JED852013 JNZ852013 JXV852013 KHR852013 KRN852013 LBJ852013 LLF852013 LVB852013 MEX852013 MOT852013 MYP852013 NIL852013 NSH852013 OCD852013 OLZ852013 OVV852013 PFR852013 PPN852013 PZJ852013 QJF852013 QTB852013 RCX852013 RMT852013 RWP852013 SGL852013 SQH852013 TAD852013 TJZ852013 TTV852013 UDR852013 UNN852013 UXJ852013 VHF852013 VRB852013 WAX852013 WKT852013 WUP852013 I917547:J917547 IC917547:ID917547 RY917547:RZ917547 ABU917547:ABV917547 ALQ917547:ALR917547 AVM917547:AVN917547 BFI917547:BFJ917547 BPE917547:BPF917547 BZA917547:BZB917547 CIW917547:CIX917547 CSS917547:CST917547 DCO917547:DCP917547 DMK917547:DML917547 DWG917547:DWH917547 EGC917547:EGD917547 EPY917547:EPZ917547 EZU917547:EZV917547 FJQ917547:FJR917547 FTM917547:FTN917547 GDI917547:GDJ917547 GNE917547:GNF917547 GXA917547:GXB917547 HGW917547:HGX917547 HQS917547:HQT917547 IAO917547:IAP917547 IKK917547:IKL917547 IUG917547:IUH917547 JEC917547:JED917547 JNY917547:JNZ917547 JXU917547:JXV917547 KHQ917547:KHR917547 KRM917547:KRN917547 LBI917547:LBJ917547 LLE917547:LLF917547 LVA917547:LVB917547 MEW917547:MEX917547 MOS917547:MOT917547 MYO917547:MYP917547 NIK917547:NIL917547 NSG917547:NSH917547 OCC917547:OCD917547 OLY917547:OLZ917547 OVU917547:OVV917547 PFQ917547:PFR917547 PPM917547:PPN917547 PZI917547:PZJ917547 QJE917547:QJF917547 QTA917547:QTB917547 RCW917547:RCX917547 RMS917547:RMT917547 RWO917547:RWP917547 SGK917547:SGL917547 SQG917547:SQH917547 TAC917547:TAD917547 TJY917547:TJZ917547 TTU917547:TTV917547 UDQ917547:UDR917547 UNM917547:UNN917547 UXI917547:UXJ917547 VHE917547:VHF917547 VRA917547:VRB917547 WAW917547:WAX917547 WKS917547:WKT917547 WUO917547:WUP917547 IF917548 SB917548 ABX917548 ALT917548 AVP917548 BFL917548 BPH917548 BZD917548 CIZ917548 CSV917548 DCR917548 DMN917548 DWJ917548 EGF917548 EQB917548 EZX917548 FJT917548 FTP917548 GDL917548 GNH917548 GXD917548 HGZ917548 HQV917548 IAR917548 IKN917548 IUJ917548 JEF917548 JOB917548 JXX917548 KHT917548 KRP917548 LBL917548 LLH917548 LVD917548 MEZ917548 MOV917548 MYR917548 NIN917548 NSJ917548 OCF917548 OMB917548 OVX917548 PFT917548 PPP917548 PZL917548 QJH917548 QTD917548 RCZ917548 RMV917548 RWR917548 SGN917548 SQJ917548 TAF917548 TKB917548 TTX917548 UDT917548 UNP917548 UXL917548 VHH917548 VRD917548 WAZ917548 WKV917548 WUR917548 ID917549 RZ917549 ABV917549 ALR917549 AVN917549 BFJ917549 BPF917549 BZB917549 CIX917549 CST917549 DCP917549 DML917549 DWH917549 EGD917549 EPZ917549 EZV917549 FJR917549 FTN917549 GDJ917549 GNF917549 GXB917549 HGX917549 HQT917549 IAP917549 IKL917549 IUH917549 JED917549 JNZ917549 JXV917549 KHR917549 KRN917549 LBJ917549 LLF917549 LVB917549 MEX917549 MOT917549 MYP917549 NIL917549 NSH917549 OCD917549 OLZ917549 OVV917549 PFR917549 PPN917549 PZJ917549 QJF917549 QTB917549 RCX917549 RMT917549 RWP917549 SGL917549 SQH917549 TAD917549 TJZ917549 TTV917549 UDR917549 UNN917549 UXJ917549 VHF917549 VRB917549 WAX917549 WKT917549 WUP917549 I983083:J983083 IC983083:ID983083 RY983083:RZ983083 ABU983083:ABV983083 ALQ983083:ALR983083 AVM983083:AVN983083 BFI983083:BFJ983083 BPE983083:BPF983083 BZA983083:BZB983083 CIW983083:CIX983083 CSS983083:CST983083 DCO983083:DCP983083 DMK983083:DML983083 DWG983083:DWH983083 EGC983083:EGD983083 EPY983083:EPZ983083 EZU983083:EZV983083 FJQ983083:FJR983083 FTM983083:FTN983083 GDI983083:GDJ983083 GNE983083:GNF983083 GXA983083:GXB983083 HGW983083:HGX983083 HQS983083:HQT983083 IAO983083:IAP983083 IKK983083:IKL983083 IUG983083:IUH983083 JEC983083:JED983083 JNY983083:JNZ983083 JXU983083:JXV983083 KHQ983083:KHR983083 KRM983083:KRN983083 LBI983083:LBJ983083 LLE983083:LLF983083 LVA983083:LVB983083 MEW983083:MEX983083 MOS983083:MOT983083 MYO983083:MYP983083 NIK983083:NIL983083 NSG983083:NSH983083 OCC983083:OCD983083 OLY983083:OLZ983083 OVU983083:OVV983083 PFQ983083:PFR983083 PPM983083:PPN983083 PZI983083:PZJ983083 QJE983083:QJF983083 QTA983083:QTB983083 RCW983083:RCX983083 RMS983083:RMT983083 RWO983083:RWP983083 SGK983083:SGL983083 SQG983083:SQH983083 TAC983083:TAD983083 TJY983083:TJZ983083 TTU983083:TTV983083 UDQ983083:UDR983083 UNM983083:UNN983083 UXI983083:UXJ983083 VHE983083:VHF983083 VRA983083:VRB983083 WAW983083:WAX983083 WKS983083:WKT983083 WUO983083:WUP983083 IF983084 SB983084 ABX983084 ALT983084 AVP983084 BFL983084 BPH983084 BZD983084 CIZ983084 CSV983084 DCR983084 DMN983084 DWJ983084 EGF983084 EQB983084 EZX983084 FJT983084 FTP983084 GDL983084 GNH983084 GXD983084 HGZ983084 HQV983084 IAR983084 IKN983084 IUJ983084 JEF983084 JOB983084 JXX983084 KHT983084 KRP983084 LBL983084 LLH983084 LVD983084 MEZ983084 MOV983084 MYR983084 NIN983084 NSJ983084 OCF983084 OMB983084 OVX983084 PFT983084 PPP983084 PZL983084 QJH983084 QTD983084 RCZ983084 RMV983084 RWR983084 SGN983084 SQJ983084 TAF983084 TKB983084 TTX983084 UDT983084 UNP983084 UXL983084 VHH983084 VRD983084 WAZ983084 WKV983084 WUR983084 ID983085 RZ983085 ABV983085 ALR983085 AVN983085 BFJ983085 BPF983085 BZB983085 CIX983085 CST983085 DCP983085 DML983085 DWH983085 EGD983085 EPZ983085 EZV983085 FJR983085 FTN983085 GDJ983085 GNF983085 GXB983085 HGX983085 HQT983085 IAP983085 IKL983085 IUH983085 JED983085 JNZ983085 JXV983085 KHR983085 KRN983085 LBJ983085 LLF983085 LVB983085 MEX983085 MOT983085 MYP983085 NIL983085 NSH983085 OCD983085 OLZ983085 OVV983085 PFR983085 PPN983085 PZJ983085 QJF983085 QTB983085 RCX983085 RMT983085 RWP983085 SGL983085 SQH983085 TAD983085 TJZ983085 TTV983085 UDR983085 UNN983085 UXJ983085 VHF983085 VRB983085 WAX983085 WKT983085 WUP983085"/>
  </dataValidations>
  <printOptions horizontalCentered="1"/>
  <pageMargins left="0" right="0.118110236220472" top="0.43307086614173201" bottom="0.511811023622047" header="0.31496062992126" footer="0.31496062992126"/>
  <pageSetup paperSize="9" scale="6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2"/>
  <sheetViews>
    <sheetView workbookViewId="0">
      <selection activeCell="B1" sqref="B1:H3"/>
    </sheetView>
  </sheetViews>
  <sheetFormatPr defaultColWidth="9.140625" defaultRowHeight="15"/>
  <cols>
    <col min="1" max="1" width="4.42578125" style="2" customWidth="1"/>
    <col min="2" max="2" width="16.85546875" style="2" customWidth="1"/>
    <col min="3" max="3" width="33.140625" style="2" customWidth="1"/>
    <col min="4" max="4" width="15.140625" style="2" hidden="1" customWidth="1"/>
    <col min="5" max="5" width="6.5703125" style="2" customWidth="1"/>
    <col min="6" max="7" width="9.140625" style="2" customWidth="1"/>
    <col min="8" max="8" width="10.140625" style="2" customWidth="1"/>
    <col min="9" max="9" width="10.85546875" style="2" customWidth="1"/>
    <col min="10" max="10" width="12.42578125" style="2" customWidth="1"/>
    <col min="11" max="16384" width="9.140625" style="2"/>
  </cols>
  <sheetData>
    <row r="1" spans="1:17" ht="15" customHeight="1">
      <c r="A1" s="3"/>
      <c r="B1" s="200"/>
      <c r="C1" s="200"/>
      <c r="D1" s="200"/>
      <c r="E1" s="200"/>
      <c r="F1" s="200"/>
      <c r="G1" s="200"/>
      <c r="H1" s="200"/>
      <c r="I1" s="194" t="s">
        <v>52</v>
      </c>
      <c r="J1" s="194"/>
    </row>
    <row r="2" spans="1:17" ht="10.5" customHeight="1">
      <c r="A2" s="3"/>
      <c r="B2" s="200"/>
      <c r="C2" s="200"/>
      <c r="D2" s="200"/>
      <c r="E2" s="200"/>
      <c r="F2" s="200"/>
      <c r="G2" s="200"/>
      <c r="H2" s="200"/>
      <c r="I2" s="195" t="s">
        <v>53</v>
      </c>
      <c r="J2" s="196"/>
    </row>
    <row r="3" spans="1:17" ht="13.5" customHeight="1">
      <c r="A3" s="3"/>
      <c r="B3" s="200"/>
      <c r="C3" s="200"/>
      <c r="D3" s="200"/>
      <c r="E3" s="200"/>
      <c r="F3" s="200"/>
      <c r="G3" s="200"/>
      <c r="H3" s="200"/>
    </row>
    <row r="4" spans="1:17" ht="9.75" customHeight="1">
      <c r="A4" s="201" t="s">
        <v>54</v>
      </c>
      <c r="B4" s="201"/>
      <c r="C4" s="201"/>
      <c r="D4" s="201"/>
      <c r="E4" s="201"/>
      <c r="F4" s="201"/>
      <c r="G4" s="201"/>
      <c r="H4" s="201"/>
      <c r="I4" s="201"/>
      <c r="J4" s="201"/>
    </row>
    <row r="5" spans="1:17" ht="12" customHeight="1">
      <c r="A5" s="201"/>
      <c r="B5" s="201"/>
      <c r="C5" s="201"/>
      <c r="D5" s="201"/>
      <c r="E5" s="201"/>
      <c r="F5" s="201"/>
      <c r="G5" s="201"/>
      <c r="H5" s="201"/>
      <c r="I5" s="201"/>
      <c r="J5" s="201"/>
    </row>
    <row r="6" spans="1:17" ht="15.75" customHeight="1">
      <c r="A6" s="197" t="s">
        <v>55</v>
      </c>
      <c r="B6" s="197"/>
      <c r="C6" s="197"/>
      <c r="D6" s="197"/>
      <c r="E6" s="197"/>
      <c r="F6" s="197"/>
      <c r="G6" s="197"/>
      <c r="H6" s="197"/>
      <c r="I6" s="197"/>
      <c r="J6" s="197"/>
    </row>
    <row r="7" spans="1:17" ht="11.25" customHeight="1">
      <c r="A7" s="198" t="s">
        <v>56</v>
      </c>
      <c r="B7" s="198"/>
      <c r="C7" s="198"/>
      <c r="D7" s="198"/>
      <c r="E7" s="198"/>
      <c r="F7" s="198"/>
      <c r="G7" s="198"/>
      <c r="H7" s="198"/>
      <c r="I7" s="198"/>
      <c r="J7" s="198"/>
    </row>
    <row r="8" spans="1:17" ht="15" customHeight="1">
      <c r="A8" s="199" t="s">
        <v>57</v>
      </c>
      <c r="B8" s="199"/>
      <c r="C8" s="199"/>
      <c r="D8" s="199"/>
      <c r="E8" s="199"/>
      <c r="F8" s="199"/>
      <c r="G8" s="199"/>
      <c r="H8" s="199"/>
      <c r="I8" s="199"/>
      <c r="J8" s="199"/>
    </row>
    <row r="9" spans="1:17" ht="29.25" hidden="1" customHeight="1">
      <c r="A9" s="3" t="s">
        <v>58</v>
      </c>
      <c r="B9" s="3"/>
      <c r="C9" s="3" t="s">
        <v>59</v>
      </c>
      <c r="D9" s="3"/>
      <c r="E9" s="3"/>
      <c r="F9" s="3"/>
      <c r="G9" s="3"/>
      <c r="H9" s="3"/>
      <c r="I9" s="3"/>
    </row>
    <row r="10" spans="1:17" ht="15.75" customHeight="1">
      <c r="A10" s="202" t="s">
        <v>60</v>
      </c>
      <c r="B10" s="202"/>
      <c r="C10" s="202"/>
      <c r="D10" s="3"/>
      <c r="E10" s="202" t="s">
        <v>61</v>
      </c>
      <c r="F10" s="202"/>
      <c r="G10" s="202"/>
      <c r="H10" s="202"/>
      <c r="I10" s="202"/>
      <c r="J10" s="202"/>
    </row>
    <row r="11" spans="1:17" s="1" customFormat="1" ht="18.75" customHeight="1">
      <c r="A11" s="208" t="s">
        <v>14</v>
      </c>
      <c r="B11" s="208" t="s">
        <v>62</v>
      </c>
      <c r="C11" s="210" t="s">
        <v>63</v>
      </c>
      <c r="D11" s="4" t="s">
        <v>64</v>
      </c>
      <c r="E11" s="208" t="s">
        <v>65</v>
      </c>
      <c r="F11" s="203" t="s">
        <v>66</v>
      </c>
      <c r="G11" s="204"/>
      <c r="H11" s="205"/>
      <c r="I11" s="210" t="s">
        <v>67</v>
      </c>
      <c r="J11" s="210" t="s">
        <v>68</v>
      </c>
      <c r="K11" s="2"/>
      <c r="L11" s="2"/>
      <c r="M11" s="2"/>
      <c r="N11" s="2"/>
      <c r="O11" s="2"/>
      <c r="P11" s="2"/>
      <c r="Q11" s="2"/>
    </row>
    <row r="12" spans="1:17" s="1" customFormat="1" ht="27" customHeight="1">
      <c r="A12" s="209"/>
      <c r="B12" s="209"/>
      <c r="C12" s="209"/>
      <c r="D12" s="4"/>
      <c r="E12" s="209"/>
      <c r="F12" s="11" t="s">
        <v>69</v>
      </c>
      <c r="G12" s="11" t="s">
        <v>70</v>
      </c>
      <c r="H12" s="11" t="s">
        <v>71</v>
      </c>
      <c r="I12" s="211"/>
      <c r="J12" s="211"/>
      <c r="K12" s="2"/>
      <c r="L12" s="2"/>
      <c r="M12" s="2"/>
      <c r="N12" s="2"/>
      <c r="O12" s="2"/>
      <c r="P12" s="2"/>
      <c r="Q12" s="2"/>
    </row>
    <row r="13" spans="1:17" ht="19.5" customHeight="1">
      <c r="A13" s="5">
        <v>1</v>
      </c>
      <c r="B13" s="6"/>
      <c r="C13" s="6"/>
      <c r="D13" s="6"/>
      <c r="E13" s="6"/>
      <c r="F13" s="5"/>
      <c r="G13" s="5"/>
      <c r="H13" s="5"/>
      <c r="I13" s="5"/>
      <c r="J13" s="6"/>
    </row>
    <row r="14" spans="1:17" ht="19.5" customHeight="1">
      <c r="A14" s="68" t="s">
        <v>72</v>
      </c>
      <c r="B14" s="6"/>
      <c r="C14" s="6"/>
      <c r="D14" s="6"/>
      <c r="E14" s="6"/>
      <c r="F14" s="5"/>
      <c r="G14" s="5"/>
      <c r="H14" s="5"/>
      <c r="I14" s="5"/>
      <c r="J14" s="6"/>
    </row>
    <row r="15" spans="1:17" ht="19.5" customHeight="1">
      <c r="A15" s="5">
        <v>3</v>
      </c>
      <c r="B15" s="6"/>
      <c r="C15" s="6"/>
      <c r="D15" s="6"/>
      <c r="E15" s="6"/>
      <c r="F15" s="5"/>
      <c r="G15" s="5"/>
      <c r="H15" s="5"/>
      <c r="I15" s="5"/>
      <c r="J15" s="6"/>
    </row>
    <row r="16" spans="1:17" ht="19.5" customHeight="1">
      <c r="A16" s="5">
        <v>4</v>
      </c>
      <c r="B16" s="6"/>
      <c r="C16" s="6"/>
      <c r="D16" s="6"/>
      <c r="E16" s="6"/>
      <c r="F16" s="5"/>
      <c r="G16" s="5"/>
      <c r="H16" s="5"/>
      <c r="I16" s="5"/>
      <c r="J16" s="6"/>
    </row>
    <row r="17" spans="1:17" ht="19.5" customHeight="1">
      <c r="A17" s="5">
        <v>5</v>
      </c>
      <c r="B17" s="6"/>
      <c r="C17" s="6"/>
      <c r="D17" s="6"/>
      <c r="E17" s="6"/>
      <c r="F17" s="5"/>
      <c r="G17" s="5"/>
      <c r="H17" s="5"/>
      <c r="I17" s="5"/>
      <c r="J17" s="6"/>
    </row>
    <row r="18" spans="1:17" ht="19.5" customHeight="1">
      <c r="A18" s="5">
        <v>6</v>
      </c>
      <c r="B18" s="6"/>
      <c r="C18" s="6"/>
      <c r="D18" s="6"/>
      <c r="E18" s="6"/>
      <c r="F18" s="5"/>
      <c r="G18" s="5"/>
      <c r="H18" s="5"/>
      <c r="I18" s="5"/>
      <c r="J18" s="6"/>
    </row>
    <row r="19" spans="1:17" ht="19.5" customHeight="1">
      <c r="A19" s="5">
        <v>7</v>
      </c>
      <c r="B19" s="6"/>
      <c r="C19" s="6"/>
      <c r="D19" s="6"/>
      <c r="E19" s="6"/>
      <c r="F19" s="5"/>
      <c r="G19" s="5"/>
      <c r="H19" s="5"/>
      <c r="I19" s="5"/>
      <c r="J19" s="6"/>
    </row>
    <row r="20" spans="1:17" ht="19.5" customHeight="1">
      <c r="A20" s="5">
        <v>8</v>
      </c>
      <c r="B20" s="6"/>
      <c r="C20" s="6"/>
      <c r="D20" s="6"/>
      <c r="E20" s="6"/>
      <c r="F20" s="5"/>
      <c r="G20" s="5"/>
      <c r="H20" s="5"/>
      <c r="I20" s="5"/>
      <c r="J20" s="6"/>
    </row>
    <row r="21" spans="1:17" ht="19.5" customHeight="1">
      <c r="A21" s="5">
        <v>9</v>
      </c>
      <c r="B21" s="6"/>
      <c r="C21" s="6"/>
      <c r="D21" s="6"/>
      <c r="E21" s="6"/>
      <c r="F21" s="5"/>
      <c r="G21" s="5"/>
      <c r="H21" s="5"/>
      <c r="I21" s="5"/>
      <c r="J21" s="6"/>
    </row>
    <row r="22" spans="1:17" ht="19.5" customHeight="1">
      <c r="A22" s="5">
        <v>10</v>
      </c>
      <c r="B22" s="6"/>
      <c r="C22" s="6"/>
      <c r="D22" s="6"/>
      <c r="E22" s="6"/>
      <c r="F22" s="5"/>
      <c r="G22" s="5"/>
      <c r="H22" s="5"/>
      <c r="I22" s="5"/>
      <c r="J22" s="6"/>
      <c r="K22" s="10"/>
      <c r="L22" s="10"/>
      <c r="M22" s="10"/>
      <c r="N22" s="10"/>
      <c r="O22" s="10"/>
      <c r="P22" s="10"/>
      <c r="Q22" s="10"/>
    </row>
    <row r="23" spans="1:17" ht="19.5" customHeight="1">
      <c r="A23" s="5">
        <v>11</v>
      </c>
      <c r="B23" s="6"/>
      <c r="C23" s="6"/>
      <c r="D23" s="6"/>
      <c r="E23" s="6"/>
      <c r="F23" s="5"/>
      <c r="G23" s="5"/>
      <c r="H23" s="5"/>
      <c r="I23" s="5"/>
      <c r="J23" s="6"/>
      <c r="K23" s="10"/>
      <c r="L23" s="10"/>
      <c r="M23" s="10"/>
      <c r="N23" s="10"/>
      <c r="O23" s="10"/>
      <c r="P23" s="10"/>
      <c r="Q23" s="10"/>
    </row>
    <row r="24" spans="1:17" ht="19.5" customHeight="1">
      <c r="A24" s="5">
        <v>12</v>
      </c>
      <c r="B24" s="6"/>
      <c r="C24" s="6"/>
      <c r="D24" s="6"/>
      <c r="E24" s="6"/>
      <c r="F24" s="5"/>
      <c r="G24" s="5"/>
      <c r="H24" s="5"/>
      <c r="I24" s="5"/>
      <c r="J24" s="6"/>
      <c r="K24" s="10"/>
      <c r="L24" s="10"/>
      <c r="M24" s="10"/>
      <c r="N24" s="10"/>
      <c r="O24" s="10"/>
      <c r="P24" s="10"/>
      <c r="Q24" s="10"/>
    </row>
    <row r="25" spans="1:17" ht="7.5" customHeight="1"/>
    <row r="26" spans="1:17">
      <c r="A26" s="206" t="s">
        <v>73</v>
      </c>
      <c r="B26" s="206"/>
      <c r="C26" s="8" t="s">
        <v>74</v>
      </c>
      <c r="D26" s="9"/>
      <c r="E26" s="207" t="s">
        <v>75</v>
      </c>
      <c r="F26" s="207"/>
      <c r="G26" s="8"/>
      <c r="H26" s="207" t="s">
        <v>76</v>
      </c>
      <c r="I26" s="207"/>
      <c r="J26" s="207"/>
    </row>
    <row r="27" spans="1:17">
      <c r="A27" s="9"/>
      <c r="B27" s="9"/>
      <c r="C27" s="9"/>
      <c r="D27" s="9"/>
      <c r="E27" s="9"/>
      <c r="F27" s="9"/>
      <c r="G27" s="9"/>
      <c r="H27" s="9"/>
      <c r="I27" s="9"/>
      <c r="J27" s="9"/>
    </row>
    <row r="28" spans="1:17" ht="53.25" customHeight="1">
      <c r="A28" s="9"/>
      <c r="B28" s="9"/>
      <c r="C28" s="9"/>
      <c r="D28" s="9"/>
      <c r="E28" s="9"/>
      <c r="F28" s="9"/>
      <c r="G28" s="9"/>
      <c r="H28" s="9"/>
      <c r="I28" s="9"/>
      <c r="J28" s="9"/>
    </row>
    <row r="30" spans="1:17" ht="18" customHeight="1"/>
    <row r="31" spans="1:17" ht="18" customHeight="1"/>
    <row r="32" spans="1:17" ht="18" customHeight="1"/>
  </sheetData>
  <mergeCells count="19">
    <mergeCell ref="A10:C10"/>
    <mergeCell ref="E10:J10"/>
    <mergeCell ref="F11:H11"/>
    <mergeCell ref="A26:B26"/>
    <mergeCell ref="E26:F26"/>
    <mergeCell ref="H26:J26"/>
    <mergeCell ref="A11:A12"/>
    <mergeCell ref="B11:B12"/>
    <mergeCell ref="C11:C12"/>
    <mergeCell ref="E11:E12"/>
    <mergeCell ref="I11:I12"/>
    <mergeCell ref="J11:J12"/>
    <mergeCell ref="I1:J1"/>
    <mergeCell ref="I2:J2"/>
    <mergeCell ref="A6:J6"/>
    <mergeCell ref="A7:J7"/>
    <mergeCell ref="A8:J8"/>
    <mergeCell ref="B1:H3"/>
    <mergeCell ref="A4:J5"/>
  </mergeCells>
  <printOptions horizontalCentered="1"/>
  <pageMargins left="0" right="0" top="0.5" bottom="0.31" header="0.3" footer="0.3"/>
  <pageSetup paperSize="11" scale="8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32"/>
  <sheetViews>
    <sheetView workbookViewId="0">
      <selection activeCell="B1" sqref="B1:G3"/>
    </sheetView>
  </sheetViews>
  <sheetFormatPr defaultColWidth="9.140625" defaultRowHeight="15"/>
  <cols>
    <col min="1" max="1" width="4.42578125" style="2" customWidth="1"/>
    <col min="2" max="3" width="16.85546875" style="2" customWidth="1"/>
    <col min="4" max="4" width="33.140625" style="2" customWidth="1"/>
    <col min="5" max="5" width="15.140625" style="2" hidden="1" customWidth="1"/>
    <col min="6" max="6" width="6.5703125" style="2" customWidth="1"/>
    <col min="7" max="7" width="13.42578125" style="2" customWidth="1"/>
    <col min="8" max="8" width="13" style="2" customWidth="1"/>
    <col min="9" max="9" width="12.42578125" style="2" customWidth="1"/>
    <col min="10" max="16384" width="9.140625" style="2"/>
  </cols>
  <sheetData>
    <row r="1" spans="1:16" ht="15" customHeight="1">
      <c r="A1" s="3"/>
      <c r="B1" s="200"/>
      <c r="C1" s="200"/>
      <c r="D1" s="200"/>
      <c r="E1" s="200"/>
      <c r="F1" s="200"/>
      <c r="G1" s="200"/>
      <c r="H1" s="194" t="s">
        <v>52</v>
      </c>
      <c r="I1" s="194"/>
    </row>
    <row r="2" spans="1:16" ht="10.5" customHeight="1">
      <c r="A2" s="3"/>
      <c r="B2" s="200"/>
      <c r="C2" s="200"/>
      <c r="D2" s="200"/>
      <c r="E2" s="200"/>
      <c r="F2" s="200"/>
      <c r="G2" s="200"/>
      <c r="H2" s="195" t="s">
        <v>53</v>
      </c>
      <c r="I2" s="196"/>
    </row>
    <row r="3" spans="1:16" ht="13.5" customHeight="1">
      <c r="A3" s="3"/>
      <c r="B3" s="200"/>
      <c r="C3" s="200"/>
      <c r="D3" s="200"/>
      <c r="E3" s="200"/>
      <c r="F3" s="200"/>
      <c r="G3" s="200"/>
    </row>
    <row r="4" spans="1:16" ht="9.75" customHeight="1">
      <c r="A4" s="201" t="s">
        <v>77</v>
      </c>
      <c r="B4" s="201"/>
      <c r="C4" s="201"/>
      <c r="D4" s="201"/>
      <c r="E4" s="201"/>
      <c r="F4" s="201"/>
      <c r="G4" s="201"/>
      <c r="H4" s="201"/>
      <c r="I4" s="201"/>
    </row>
    <row r="5" spans="1:16" ht="12" customHeight="1">
      <c r="A5" s="201"/>
      <c r="B5" s="201"/>
      <c r="C5" s="201"/>
      <c r="D5" s="201"/>
      <c r="E5" s="201"/>
      <c r="F5" s="201"/>
      <c r="G5" s="201"/>
      <c r="H5" s="201"/>
      <c r="I5" s="201"/>
    </row>
    <row r="6" spans="1:16" ht="15.75" customHeight="1">
      <c r="A6" s="197" t="s">
        <v>55</v>
      </c>
      <c r="B6" s="197"/>
      <c r="C6" s="197"/>
      <c r="D6" s="197"/>
      <c r="E6" s="197"/>
      <c r="F6" s="197"/>
      <c r="G6" s="197"/>
      <c r="H6" s="197"/>
      <c r="I6" s="197"/>
    </row>
    <row r="7" spans="1:16" ht="11.25" customHeight="1">
      <c r="A7" s="198" t="s">
        <v>56</v>
      </c>
      <c r="B7" s="198"/>
      <c r="C7" s="198"/>
      <c r="D7" s="198"/>
      <c r="E7" s="198"/>
      <c r="F7" s="198"/>
      <c r="G7" s="198"/>
      <c r="H7" s="198"/>
      <c r="I7" s="198"/>
    </row>
    <row r="8" spans="1:16" ht="15" customHeight="1">
      <c r="A8" s="199" t="s">
        <v>57</v>
      </c>
      <c r="B8" s="199"/>
      <c r="C8" s="199"/>
      <c r="D8" s="199"/>
      <c r="E8" s="199"/>
      <c r="F8" s="199"/>
      <c r="G8" s="199"/>
      <c r="H8" s="199"/>
      <c r="I8" s="199"/>
    </row>
    <row r="9" spans="1:16" ht="29.25" hidden="1" customHeight="1">
      <c r="A9" s="3" t="s">
        <v>58</v>
      </c>
      <c r="B9" s="3"/>
      <c r="C9" s="3"/>
      <c r="D9" s="3" t="s">
        <v>59</v>
      </c>
      <c r="E9" s="3"/>
      <c r="F9" s="3"/>
      <c r="G9" s="3"/>
      <c r="H9" s="3"/>
    </row>
    <row r="10" spans="1:16" ht="15.75" customHeight="1">
      <c r="A10" s="202" t="s">
        <v>60</v>
      </c>
      <c r="B10" s="202"/>
      <c r="C10" s="202"/>
      <c r="D10" s="202"/>
      <c r="E10" s="3"/>
      <c r="F10" s="202" t="s">
        <v>61</v>
      </c>
      <c r="G10" s="202"/>
      <c r="H10" s="202"/>
      <c r="I10" s="202"/>
    </row>
    <row r="11" spans="1:16" s="1" customFormat="1" ht="18.75" customHeight="1">
      <c r="A11" s="208" t="s">
        <v>14</v>
      </c>
      <c r="B11" s="208" t="s">
        <v>78</v>
      </c>
      <c r="C11" s="208" t="s">
        <v>79</v>
      </c>
      <c r="D11" s="210" t="s">
        <v>63</v>
      </c>
      <c r="E11" s="4" t="s">
        <v>64</v>
      </c>
      <c r="F11" s="208" t="s">
        <v>65</v>
      </c>
      <c r="G11" s="210" t="s">
        <v>66</v>
      </c>
      <c r="H11" s="210" t="s">
        <v>67</v>
      </c>
      <c r="I11" s="210" t="s">
        <v>68</v>
      </c>
      <c r="J11" s="2"/>
      <c r="K11" s="2"/>
      <c r="L11" s="2"/>
      <c r="M11" s="2"/>
      <c r="N11" s="2"/>
      <c r="O11" s="2"/>
      <c r="P11" s="2"/>
    </row>
    <row r="12" spans="1:16" s="1" customFormat="1" ht="27" customHeight="1">
      <c r="A12" s="209"/>
      <c r="B12" s="209"/>
      <c r="C12" s="209"/>
      <c r="D12" s="209"/>
      <c r="E12" s="4"/>
      <c r="F12" s="209"/>
      <c r="G12" s="211"/>
      <c r="H12" s="211"/>
      <c r="I12" s="211"/>
      <c r="J12" s="2"/>
      <c r="K12" s="2"/>
      <c r="L12" s="2"/>
      <c r="M12" s="2"/>
      <c r="N12" s="2"/>
      <c r="O12" s="2"/>
      <c r="P12" s="2"/>
    </row>
    <row r="13" spans="1:16" ht="19.5" customHeight="1">
      <c r="A13" s="5">
        <v>1</v>
      </c>
      <c r="B13" s="6"/>
      <c r="C13" s="6"/>
      <c r="D13" s="6"/>
      <c r="E13" s="6"/>
      <c r="F13" s="6"/>
      <c r="G13" s="5"/>
      <c r="H13" s="5"/>
      <c r="I13" s="6"/>
    </row>
    <row r="14" spans="1:16" ht="19.5" customHeight="1">
      <c r="A14" s="68" t="s">
        <v>72</v>
      </c>
      <c r="B14" s="6"/>
      <c r="C14" s="6"/>
      <c r="D14" s="6"/>
      <c r="E14" s="6"/>
      <c r="F14" s="6"/>
      <c r="G14" s="5"/>
      <c r="H14" s="5"/>
      <c r="I14" s="6"/>
    </row>
    <row r="15" spans="1:16" ht="19.5" customHeight="1">
      <c r="A15" s="5">
        <v>3</v>
      </c>
      <c r="B15" s="6"/>
      <c r="C15" s="6"/>
      <c r="D15" s="6"/>
      <c r="E15" s="6"/>
      <c r="F15" s="6"/>
      <c r="G15" s="5"/>
      <c r="H15" s="5"/>
      <c r="I15" s="6"/>
    </row>
    <row r="16" spans="1:16" ht="19.5" customHeight="1">
      <c r="A16" s="5">
        <v>4</v>
      </c>
      <c r="B16" s="6"/>
      <c r="C16" s="6"/>
      <c r="D16" s="6"/>
      <c r="E16" s="6"/>
      <c r="F16" s="6"/>
      <c r="G16" s="5"/>
      <c r="H16" s="5"/>
      <c r="I16" s="6"/>
    </row>
    <row r="17" spans="1:16" ht="19.5" customHeight="1">
      <c r="A17" s="5">
        <v>5</v>
      </c>
      <c r="B17" s="6"/>
      <c r="C17" s="6"/>
      <c r="D17" s="6"/>
      <c r="E17" s="6"/>
      <c r="F17" s="6"/>
      <c r="G17" s="5"/>
      <c r="H17" s="5"/>
      <c r="I17" s="6"/>
    </row>
    <row r="18" spans="1:16" ht="19.5" customHeight="1">
      <c r="A18" s="5">
        <v>6</v>
      </c>
      <c r="B18" s="6"/>
      <c r="C18" s="6"/>
      <c r="D18" s="6"/>
      <c r="E18" s="6"/>
      <c r="F18" s="6"/>
      <c r="G18" s="5"/>
      <c r="H18" s="5"/>
      <c r="I18" s="6"/>
    </row>
    <row r="19" spans="1:16" ht="19.5" customHeight="1">
      <c r="A19" s="5">
        <v>7</v>
      </c>
      <c r="B19" s="6"/>
      <c r="C19" s="6"/>
      <c r="D19" s="6"/>
      <c r="E19" s="6"/>
      <c r="F19" s="6"/>
      <c r="G19" s="5"/>
      <c r="H19" s="5"/>
      <c r="I19" s="6"/>
    </row>
    <row r="20" spans="1:16" ht="19.5" customHeight="1">
      <c r="A20" s="5">
        <v>8</v>
      </c>
      <c r="B20" s="6"/>
      <c r="C20" s="6"/>
      <c r="D20" s="6"/>
      <c r="E20" s="6"/>
      <c r="F20" s="6"/>
      <c r="G20" s="5"/>
      <c r="H20" s="5"/>
      <c r="I20" s="6"/>
    </row>
    <row r="21" spans="1:16" ht="19.5" customHeight="1">
      <c r="A21" s="5">
        <v>9</v>
      </c>
      <c r="B21" s="6"/>
      <c r="C21" s="6"/>
      <c r="D21" s="6"/>
      <c r="E21" s="6"/>
      <c r="F21" s="6"/>
      <c r="G21" s="5"/>
      <c r="H21" s="5"/>
      <c r="I21" s="6"/>
    </row>
    <row r="22" spans="1:16" ht="19.5" customHeight="1">
      <c r="A22" s="5">
        <v>10</v>
      </c>
      <c r="B22" s="6"/>
      <c r="C22" s="6"/>
      <c r="D22" s="6"/>
      <c r="E22" s="6"/>
      <c r="F22" s="6"/>
      <c r="G22" s="5"/>
      <c r="H22" s="5"/>
      <c r="I22" s="6"/>
      <c r="J22" s="10"/>
      <c r="K22" s="10"/>
      <c r="L22" s="10"/>
      <c r="M22" s="10"/>
      <c r="N22" s="10"/>
      <c r="O22" s="10"/>
      <c r="P22" s="10"/>
    </row>
    <row r="23" spans="1:16" ht="19.5" customHeight="1">
      <c r="A23" s="5">
        <v>11</v>
      </c>
      <c r="B23" s="6"/>
      <c r="C23" s="6"/>
      <c r="D23" s="6"/>
      <c r="E23" s="6"/>
      <c r="F23" s="6"/>
      <c r="G23" s="5"/>
      <c r="H23" s="5"/>
      <c r="I23" s="6"/>
      <c r="J23" s="10"/>
      <c r="K23" s="10"/>
      <c r="L23" s="10"/>
      <c r="M23" s="10"/>
      <c r="N23" s="10"/>
      <c r="O23" s="10"/>
      <c r="P23" s="10"/>
    </row>
    <row r="24" spans="1:16" ht="19.5" customHeight="1">
      <c r="A24" s="5">
        <v>12</v>
      </c>
      <c r="B24" s="6"/>
      <c r="C24" s="6"/>
      <c r="D24" s="6"/>
      <c r="E24" s="6"/>
      <c r="F24" s="6"/>
      <c r="G24" s="5"/>
      <c r="H24" s="5"/>
      <c r="I24" s="6"/>
      <c r="J24" s="10"/>
      <c r="K24" s="10"/>
      <c r="L24" s="10"/>
      <c r="M24" s="10"/>
      <c r="N24" s="10"/>
      <c r="O24" s="10"/>
      <c r="P24" s="10"/>
    </row>
    <row r="25" spans="1:16" ht="7.5" customHeight="1"/>
    <row r="26" spans="1:16">
      <c r="A26" s="206" t="s">
        <v>73</v>
      </c>
      <c r="B26" s="206"/>
      <c r="C26" s="7"/>
      <c r="D26" s="8" t="s">
        <v>74</v>
      </c>
      <c r="E26" s="9"/>
      <c r="F26" s="207" t="s">
        <v>75</v>
      </c>
      <c r="G26" s="207"/>
      <c r="H26" s="207"/>
      <c r="I26" s="207"/>
    </row>
    <row r="27" spans="1:16">
      <c r="A27" s="9"/>
      <c r="B27" s="9"/>
      <c r="C27" s="9"/>
      <c r="D27" s="9"/>
      <c r="E27" s="9"/>
      <c r="F27" s="9"/>
      <c r="G27" s="9"/>
      <c r="H27" s="9"/>
      <c r="I27" s="9"/>
    </row>
    <row r="28" spans="1:16" ht="53.25" customHeight="1">
      <c r="A28" s="9"/>
      <c r="B28" s="9"/>
      <c r="C28" s="9"/>
      <c r="D28" s="9"/>
      <c r="E28" s="9"/>
      <c r="F28" s="9"/>
      <c r="G28" s="9"/>
      <c r="H28" s="9"/>
      <c r="I28" s="9"/>
    </row>
    <row r="30" spans="1:16" ht="18" customHeight="1"/>
    <row r="31" spans="1:16" ht="18" customHeight="1"/>
    <row r="32" spans="1:16" ht="18" customHeight="1"/>
  </sheetData>
  <mergeCells count="20">
    <mergeCell ref="A10:D10"/>
    <mergeCell ref="F10:I10"/>
    <mergeCell ref="A26:B26"/>
    <mergeCell ref="F26:G26"/>
    <mergeCell ref="H26:I26"/>
    <mergeCell ref="A11:A12"/>
    <mergeCell ref="B11:B12"/>
    <mergeCell ref="C11:C12"/>
    <mergeCell ref="D11:D12"/>
    <mergeCell ref="F11:F12"/>
    <mergeCell ref="G11:G12"/>
    <mergeCell ref="H11:H12"/>
    <mergeCell ref="I11:I12"/>
    <mergeCell ref="H1:I1"/>
    <mergeCell ref="H2:I2"/>
    <mergeCell ref="A6:I6"/>
    <mergeCell ref="A7:I7"/>
    <mergeCell ref="A8:I8"/>
    <mergeCell ref="B1:G3"/>
    <mergeCell ref="A4:I5"/>
  </mergeCells>
  <printOptions horizontalCentered="1"/>
  <pageMargins left="0" right="0" top="0.5" bottom="0.31" header="0.3" footer="0.3"/>
  <pageSetup paperSize="11" scale="85"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D6CF4703E1424FA7FF622E3867A041" ma:contentTypeVersion="17" ma:contentTypeDescription="Create a new document." ma:contentTypeScope="" ma:versionID="a1a19a3c86b233fbb1637088f407de6a">
  <xsd:schema xmlns:xsd="http://www.w3.org/2001/XMLSchema" xmlns:xs="http://www.w3.org/2001/XMLSchema" xmlns:p="http://schemas.microsoft.com/office/2006/metadata/properties" xmlns:ns2="83f55c39-acef-4460-a735-3f4b57f232ed" xmlns:ns3="cfd80025-6475-4237-a7c6-e7c9a98c6820" targetNamespace="http://schemas.microsoft.com/office/2006/metadata/properties" ma:root="true" ma:fieldsID="8d2cf3cdd11dbdae62871160d013d4ed" ns2:_="" ns3:_="">
    <xsd:import namespace="83f55c39-acef-4460-a735-3f4b57f232ed"/>
    <xsd:import namespace="cfd80025-6475-4237-a7c6-e7c9a98c682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f55c39-acef-4460-a735-3f4b57f232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8a9c49b-86db-436f-a22f-4238268e2cf4"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d80025-6475-4237-a7c6-e7c9a98c682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7c876ba-79c2-4d30-abb5-79655f061076}" ma:internalName="TaxCatchAll" ma:showField="CatchAllData" ma:web="cfd80025-6475-4237-a7c6-e7c9a98c68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fd80025-6475-4237-a7c6-e7c9a98c6820" xsi:nil="true"/>
    <lcf76f155ced4ddcb4097134ff3c332f xmlns="83f55c39-acef-4460-a735-3f4b57f232e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6DCE1F-6603-4296-8FD2-5FD202730FFA}"/>
</file>

<file path=customXml/itemProps2.xml><?xml version="1.0" encoding="utf-8"?>
<ds:datastoreItem xmlns:ds="http://schemas.openxmlformats.org/officeDocument/2006/customXml" ds:itemID="{4F50AD62-02A6-47CE-B69C-E20B907B8464}">
  <ds:schemaRefs/>
</ds:datastoreItem>
</file>

<file path=customXml/itemProps3.xml><?xml version="1.0" encoding="utf-8"?>
<ds:datastoreItem xmlns:ds="http://schemas.openxmlformats.org/officeDocument/2006/customXml" ds:itemID="{14C46927-BBCD-48C6-B9E0-6255011D1D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ĐỀ NGHỊ VẬT TƯ </vt:lpstr>
      <vt:lpstr>Phiếu nhập kho thành phẩm</vt:lpstr>
      <vt:lpstr>Phiếu nhập kho nhựa xay</vt:lpstr>
      <vt:lpstr>'ĐỀ NGHỊ VẬT TƯ '!Print_Area</vt:lpstr>
      <vt:lpstr>'ĐỀ NGHỊ VẬT TƯ '!Print_Titles</vt:lpstr>
    </vt:vector>
  </TitlesOfParts>
  <Company>minhtuan6990@gmail.com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Thị Thúy Hằng</dc:creator>
  <cp:lastModifiedBy>Administrator</cp:lastModifiedBy>
  <cp:lastPrinted>2025-09-17T02:52:02Z</cp:lastPrinted>
  <dcterms:created xsi:type="dcterms:W3CDTF">2021-03-06T01:30:00Z</dcterms:created>
  <dcterms:modified xsi:type="dcterms:W3CDTF">2025-12-22T02:09:18Z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0x010100AAD6CF4703E1424FA7FF622E3867A041</vt:lpwstr>
  </property>
  <property fmtid="{D5CDD505-2E9C-101B-9397-08002B2CF9AE}" pid="3" name="ICV">
    <vt:lpwstr>DB417C8EB1E641C889A629F636B406A6_12</vt:lpwstr>
  </property>
  <property fmtid="{D5CDD505-2E9C-101B-9397-08002B2CF9AE}" pid="4" name="KSOProductBuildVer">
    <vt:lpwstr>1033-12.2.0.21931</vt:lpwstr>
  </property>
</Properties>
</file>