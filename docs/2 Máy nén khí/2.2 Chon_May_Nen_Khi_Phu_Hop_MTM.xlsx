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2 Máy nén khí\"/>
    </mc:Choice>
  </mc:AlternateContent>
  <xr:revisionPtr revIDLastSave="0" documentId="13_ncr:1_{DE0CE619-06B4-4436-A55E-72AAA7089955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Dashboard_ChonMay" sheetId="1" r:id="rId1"/>
    <sheet name="Data_NguyenLie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 s="1"/>
  <c r="C14" i="1" s="1"/>
  <c r="C18" i="1" l="1"/>
</calcChain>
</file>

<file path=xl/sharedStrings.xml><?xml version="1.0" encoding="utf-8"?>
<sst xmlns="http://schemas.openxmlformats.org/spreadsheetml/2006/main" count="40" uniqueCount="38">
  <si>
    <t>CÔNG CỤ TÍNH TOÁN VÀ CHỌN MÁY NÉN KHÍ CHO MÁY TÁCH MÀU</t>
  </si>
  <si>
    <t>Chọn loại nguyên liệu cần phân loại:</t>
  </si>
  <si>
    <t>Hạt điều</t>
  </si>
  <si>
    <t>▼ Click chọn</t>
  </si>
  <si>
    <t>Nhập số lượng béc phun (Ejectors):</t>
  </si>
  <si>
    <t>Béc</t>
  </si>
  <si>
    <t xml:space="preserve"> 2. TÍNH TOÁN LƯU LƯỢNG</t>
  </si>
  <si>
    <t>Hệ số tiêu hao khí nén tương ứng (Cm):</t>
  </si>
  <si>
    <t>Lít/phút/béc</t>
  </si>
  <si>
    <t>► Tra cứu tự động từ Sheet Data_VatLieu</t>
  </si>
  <si>
    <t>Lưu lượng khí máy tách màu tiêu thụ (Q_req):</t>
  </si>
  <si>
    <t>m³/phút</t>
  </si>
  <si>
    <t>Lưu lượng máy nén cần thiết (Q_comp):</t>
  </si>
  <si>
    <t xml:space="preserve"> 3. ĐỀ XUẤT CẤU HÌNH THIẾT BỊ PHỤ TRỢ</t>
  </si>
  <si>
    <t>Công suất máy nén khí tối thiểu:</t>
  </si>
  <si>
    <t>kW</t>
  </si>
  <si>
    <t>► P (kW) = Q_comp * 6.2 (Tiêu hao 6.2kW / 1m3/phút)</t>
  </si>
  <si>
    <t xml:space="preserve"> 4. DIỄN GIẢI CHI TIẾT CÁC HỆ SỐ VÀ CÔNG THỨC</t>
  </si>
  <si>
    <t>1. Hệ số bù rò rỉ (1.3):</t>
  </si>
  <si>
    <t>Thực tế hệ thống ống dẫn, các cút nối và các cụm van xả nước ngưng tự động luôn có sự suy hao khí. Ngoài ra máy nén khí sau 1 thời gian chạy sẽ giảm hiệu suất. Việc nhân thêm 1.3 (+30%) giúp máy không bị chạy full-load 100% liên tục, tăng tuổi thọ động cơ.</t>
  </si>
  <si>
    <t>2. Hệ số 6.2 kW / m³/phút:</t>
  </si>
  <si>
    <t>Động cơ máy nén khí công nghiệp (cả loại ngâm dầu và không dầu) ở áp suất 8 bar thường tốn trung bình khoảng 6.2 kW điện năng để tạo ra được 1 m3 khí nén mỗi phút. Hàm Excel tự động nhân hệ số này và làm tròn lên dải công suất chuẩn (11, 15, 22, 37, 45, 55, 75 kW).</t>
  </si>
  <si>
    <t>ID</t>
  </si>
  <si>
    <t>Loại Nguyên Liệu</t>
  </si>
  <si>
    <t>Áp suất tối ưu (bar)</t>
  </si>
  <si>
    <t>Cà phê</t>
  </si>
  <si>
    <t>Các loại đậu</t>
  </si>
  <si>
    <t>Hệ số tiêu hao khí nén tương ứng (Cm): (L/phút/béc)</t>
  </si>
  <si>
    <t>► Q_req = (Số béc * Cm) / 1000 (Đổi ra m³/phút)</t>
  </si>
  <si>
    <t>► Q_comp = Q_req * 1.3 (Hệ số bù công suất 1.2 để tránh chạy full-load và 1,1 rò rĩ khí 30%)</t>
  </si>
  <si>
    <t xml:space="preserve"> 1. NHẬP THÔNG SỐ</t>
  </si>
  <si>
    <t>Trà đen</t>
  </si>
  <si>
    <t>Trà xanh</t>
  </si>
  <si>
    <t>Gạo tấm</t>
  </si>
  <si>
    <t>Gạo nguyên</t>
  </si>
  <si>
    <t>Nhựa mảnh</t>
  </si>
  <si>
    <t>Đá thô 10-30mm</t>
  </si>
  <si>
    <t>Đá bột 0.1-1.2mm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</si>
</sst>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333333"/>
      <name val="Arial"/>
    </font>
    <font>
      <b/>
      <sz val="12"/>
      <color rgb="FF0000FF"/>
      <name val="Arial"/>
    </font>
    <font>
      <i/>
      <sz val="10"/>
      <color rgb="FF7F7F7F"/>
      <name val="Arial"/>
    </font>
    <font>
      <i/>
      <sz val="10"/>
      <color rgb="FF0070C0"/>
      <name val="Consolas"/>
    </font>
    <font>
      <b/>
      <sz val="12"/>
      <color rgb="FF333333"/>
      <name val="Arial"/>
    </font>
    <font>
      <b/>
      <sz val="14"/>
      <color rgb="FFC00000"/>
      <name val="Arial"/>
    </font>
    <font>
      <b/>
      <sz val="10"/>
      <name val="Arial"/>
    </font>
    <font>
      <sz val="10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546A"/>
        <bgColor rgb="FF44546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4" borderId="2" xfId="0" applyFont="1" applyFill="1" applyBorder="1" applyAlignment="1">
      <alignment horizontal="center" vertical="center"/>
    </xf>
    <xf numFmtId="0" fontId="6" fillId="0" borderId="0" xfId="0" applyFont="1"/>
    <xf numFmtId="0" fontId="8" fillId="5" borderId="1" xfId="0" applyFont="1" applyFill="1" applyBorder="1" applyAlignment="1">
      <alignment horizontal="center" vertical="center"/>
    </xf>
    <xf numFmtId="0" fontId="7" fillId="0" borderId="0" xfId="0" applyFont="1"/>
    <xf numFmtId="2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/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7"/>
  <sheetViews>
    <sheetView showGridLines="0" tabSelected="1" zoomScale="85" zoomScaleNormal="85" workbookViewId="0">
      <selection activeCell="E9" sqref="E9"/>
    </sheetView>
  </sheetViews>
  <sheetFormatPr defaultRowHeight="15" x14ac:dyDescent="0.25"/>
  <cols>
    <col min="1" max="1" width="3" customWidth="1"/>
    <col min="2" max="2" width="52.5703125" customWidth="1"/>
    <col min="3" max="3" width="25" customWidth="1"/>
    <col min="4" max="4" width="15" customWidth="1"/>
    <col min="5" max="5" width="100" customWidth="1"/>
  </cols>
  <sheetData>
    <row r="2" spans="2:5" x14ac:dyDescent="0.25">
      <c r="B2" s="11" t="s">
        <v>0</v>
      </c>
      <c r="C2" s="12"/>
      <c r="D2" s="12"/>
      <c r="E2" s="12"/>
    </row>
    <row r="3" spans="2:5" x14ac:dyDescent="0.25">
      <c r="B3" s="12"/>
      <c r="C3" s="12"/>
      <c r="D3" s="12"/>
      <c r="E3" s="12"/>
    </row>
    <row r="5" spans="2:5" x14ac:dyDescent="0.25">
      <c r="B5" s="13" t="s">
        <v>30</v>
      </c>
      <c r="C5" s="12"/>
      <c r="D5" s="12"/>
      <c r="E5" s="12"/>
    </row>
    <row r="7" spans="2:5" ht="15.75" x14ac:dyDescent="0.25">
      <c r="B7" s="1" t="s">
        <v>1</v>
      </c>
      <c r="C7" s="2" t="s">
        <v>34</v>
      </c>
      <c r="D7" s="3" t="s">
        <v>3</v>
      </c>
    </row>
    <row r="8" spans="2:5" ht="15.75" x14ac:dyDescent="0.25">
      <c r="B8" s="1" t="s">
        <v>4</v>
      </c>
      <c r="C8" s="2">
        <v>480</v>
      </c>
      <c r="D8" s="3" t="s">
        <v>5</v>
      </c>
    </row>
    <row r="10" spans="2:5" x14ac:dyDescent="0.25">
      <c r="B10" s="13" t="s">
        <v>6</v>
      </c>
      <c r="C10" s="12"/>
      <c r="D10" s="12"/>
      <c r="E10" s="12"/>
    </row>
    <row r="12" spans="2:5" ht="15.75" x14ac:dyDescent="0.25">
      <c r="B12" s="1" t="s">
        <v>7</v>
      </c>
      <c r="C12" s="4">
        <f>VLOOKUP(C7, Data_NguyenLieu!B2:D14, 2, FALSE)</f>
        <v>6</v>
      </c>
      <c r="D12" t="s">
        <v>8</v>
      </c>
      <c r="E12" s="5" t="s">
        <v>9</v>
      </c>
    </row>
    <row r="13" spans="2:5" ht="15.75" x14ac:dyDescent="0.25">
      <c r="B13" s="1" t="s">
        <v>10</v>
      </c>
      <c r="C13" s="6">
        <f>(C8 * C12) / 1000</f>
        <v>2.88</v>
      </c>
      <c r="D13" t="s">
        <v>11</v>
      </c>
      <c r="E13" s="5" t="s">
        <v>28</v>
      </c>
    </row>
    <row r="14" spans="2:5" ht="15.75" x14ac:dyDescent="0.25">
      <c r="B14" s="1" t="s">
        <v>12</v>
      </c>
      <c r="C14" s="6">
        <f>C13 * 1.3</f>
        <v>3.7439999999999998</v>
      </c>
      <c r="D14" t="s">
        <v>11</v>
      </c>
      <c r="E14" s="5" t="s">
        <v>29</v>
      </c>
    </row>
    <row r="16" spans="2:5" x14ac:dyDescent="0.25">
      <c r="B16" s="13" t="s">
        <v>13</v>
      </c>
      <c r="C16" s="12"/>
      <c r="D16" s="12"/>
      <c r="E16" s="12"/>
    </row>
    <row r="18" spans="2:5" ht="18" x14ac:dyDescent="0.25">
      <c r="B18" s="1" t="s">
        <v>14</v>
      </c>
      <c r="C18" s="7">
        <f>IF((C14*6.2)&lt;=11,11,IF((C14*6.2)&lt;=15,15,IF((C14*6.2)&lt;=22,22,IF((C14*6.2)&lt;=37,37,IF((C14*6.2)&lt;=45,45,IF((C14*6.2)&lt;=55,55,IF((C14*6.2)&lt;=75,75,90)))))))</f>
        <v>37</v>
      </c>
      <c r="D18" t="s">
        <v>15</v>
      </c>
      <c r="E18" s="5" t="s">
        <v>16</v>
      </c>
    </row>
    <row r="20" spans="2:5" ht="9" customHeight="1" x14ac:dyDescent="0.25">
      <c r="B20" s="12"/>
      <c r="C20" s="12"/>
      <c r="D20" s="12"/>
      <c r="E20" s="12"/>
    </row>
    <row r="21" spans="2:5" hidden="1" x14ac:dyDescent="0.25">
      <c r="B21" s="12"/>
      <c r="C21" s="12"/>
      <c r="D21" s="12"/>
      <c r="E21" s="12"/>
    </row>
    <row r="22" spans="2:5" hidden="1" x14ac:dyDescent="0.25"/>
    <row r="23" spans="2:5" x14ac:dyDescent="0.25">
      <c r="B23" s="13" t="s">
        <v>17</v>
      </c>
      <c r="C23" s="12"/>
      <c r="D23" s="12"/>
      <c r="E23" s="12"/>
    </row>
    <row r="25" spans="2:5" ht="39.950000000000003" customHeight="1" x14ac:dyDescent="0.25">
      <c r="B25" s="8" t="s">
        <v>18</v>
      </c>
      <c r="C25" s="14" t="s">
        <v>19</v>
      </c>
      <c r="D25" s="12"/>
      <c r="E25" s="12"/>
    </row>
    <row r="27" spans="2:5" ht="39.950000000000003" customHeight="1" x14ac:dyDescent="0.25">
      <c r="B27" s="8" t="s">
        <v>20</v>
      </c>
      <c r="C27" s="14" t="s">
        <v>21</v>
      </c>
      <c r="D27" s="12"/>
      <c r="E27" s="12"/>
    </row>
  </sheetData>
  <mergeCells count="8">
    <mergeCell ref="C27:E27"/>
    <mergeCell ref="B2:E3"/>
    <mergeCell ref="B10:E10"/>
    <mergeCell ref="C25:E25"/>
    <mergeCell ref="B16:E16"/>
    <mergeCell ref="B20:E21"/>
    <mergeCell ref="B23:E23"/>
    <mergeCell ref="B5:E5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Lỗi nhập liệu" error="Vui lòng chọn loại nguyên liệu từ danh sách." xr:uid="{00000000-0002-0000-0000-000000000000}">
          <x14:formula1>
            <xm:f>Data_NguyenLieu!$B$2:$B$11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D14" sqref="D14"/>
    </sheetView>
  </sheetViews>
  <sheetFormatPr defaultRowHeight="15" x14ac:dyDescent="0.25"/>
  <cols>
    <col min="1" max="1" width="10.28515625" customWidth="1"/>
    <col min="2" max="2" width="25" customWidth="1"/>
    <col min="3" max="3" width="49.5703125" customWidth="1"/>
    <col min="4" max="4" width="25" customWidth="1"/>
  </cols>
  <sheetData>
    <row r="1" spans="1:4" x14ac:dyDescent="0.25">
      <c r="A1" s="9" t="s">
        <v>22</v>
      </c>
      <c r="B1" s="9" t="s">
        <v>23</v>
      </c>
      <c r="C1" s="9" t="s">
        <v>27</v>
      </c>
      <c r="D1" s="9" t="s">
        <v>24</v>
      </c>
    </row>
    <row r="2" spans="1:4" x14ac:dyDescent="0.25">
      <c r="A2" s="10">
        <v>1</v>
      </c>
      <c r="B2" s="10" t="s">
        <v>32</v>
      </c>
      <c r="C2" s="10">
        <v>2</v>
      </c>
      <c r="D2" s="10">
        <v>7</v>
      </c>
    </row>
    <row r="3" spans="1:4" x14ac:dyDescent="0.25">
      <c r="A3" s="10">
        <v>2</v>
      </c>
      <c r="B3" s="10" t="s">
        <v>31</v>
      </c>
      <c r="C3" s="10">
        <v>2.2999999999999998</v>
      </c>
      <c r="D3" s="10">
        <v>7</v>
      </c>
    </row>
    <row r="4" spans="1:4" x14ac:dyDescent="0.25">
      <c r="A4" s="10">
        <v>3</v>
      </c>
      <c r="B4" s="10" t="s">
        <v>34</v>
      </c>
      <c r="C4" s="10">
        <v>6</v>
      </c>
      <c r="D4" s="10">
        <v>7</v>
      </c>
    </row>
    <row r="5" spans="1:4" x14ac:dyDescent="0.25">
      <c r="A5" s="10">
        <v>4</v>
      </c>
      <c r="B5" s="10" t="s">
        <v>33</v>
      </c>
      <c r="C5" s="10">
        <v>7</v>
      </c>
      <c r="D5" s="10">
        <v>7</v>
      </c>
    </row>
    <row r="6" spans="1:4" x14ac:dyDescent="0.25">
      <c r="A6" s="10">
        <v>5</v>
      </c>
      <c r="B6" s="10" t="s">
        <v>25</v>
      </c>
      <c r="C6" s="10">
        <v>6</v>
      </c>
      <c r="D6" s="10">
        <v>7</v>
      </c>
    </row>
    <row r="7" spans="1:4" x14ac:dyDescent="0.25">
      <c r="A7" s="10">
        <v>6</v>
      </c>
      <c r="B7" s="10" t="s">
        <v>35</v>
      </c>
      <c r="C7" s="10">
        <v>6</v>
      </c>
      <c r="D7" s="10">
        <v>7</v>
      </c>
    </row>
    <row r="8" spans="1:4" x14ac:dyDescent="0.25">
      <c r="A8" s="10">
        <v>7</v>
      </c>
      <c r="B8" s="10" t="s">
        <v>26</v>
      </c>
      <c r="C8" s="10">
        <v>6</v>
      </c>
      <c r="D8" s="10">
        <v>7</v>
      </c>
    </row>
    <row r="9" spans="1:4" x14ac:dyDescent="0.25">
      <c r="A9" s="10">
        <v>8</v>
      </c>
      <c r="B9" s="10" t="s">
        <v>37</v>
      </c>
      <c r="C9" s="10">
        <v>2</v>
      </c>
      <c r="D9" s="10">
        <v>7</v>
      </c>
    </row>
    <row r="10" spans="1:4" x14ac:dyDescent="0.25">
      <c r="A10" s="10">
        <v>9</v>
      </c>
      <c r="B10" s="10" t="s">
        <v>36</v>
      </c>
      <c r="C10" s="10">
        <v>5</v>
      </c>
      <c r="D10" s="10">
        <v>7</v>
      </c>
    </row>
    <row r="11" spans="1:4" x14ac:dyDescent="0.25">
      <c r="A11" s="10">
        <v>10</v>
      </c>
      <c r="B11" s="10" t="s">
        <v>2</v>
      </c>
      <c r="C11" s="10">
        <v>6.2</v>
      </c>
      <c r="D11" s="1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Dashboard_ChonMay</vt:lpstr>
      <vt:lpstr>Data_NguyenLieu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2026-09-04T02:38:01Z</dcterms:created>
  <dcterms:modified xsi:type="dcterms:W3CDTF">2026-09-07T09:24:06Z</dcterms:modified>
</cp:coreProperties>
</file>