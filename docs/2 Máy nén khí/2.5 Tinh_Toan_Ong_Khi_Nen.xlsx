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2 Máy nén khí\"/>
    </mc:Choice>
  </mc:AlternateContent>
  <xr:revisionPtr revIDLastSave="0" documentId="13_ncr:1_{BC0EF19E-3B18-4A43-9E34-E135D259EFA5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Tính toán đường kính ố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21" i="1" s="1"/>
  <c r="C19" i="1" l="1"/>
</calcChain>
</file>

<file path=xl/sharedStrings.xml><?xml version="1.0" encoding="utf-8"?>
<sst xmlns="http://schemas.openxmlformats.org/spreadsheetml/2006/main" count="72" uniqueCount="68">
  <si>
    <t>THÔNG SỐ ĐẦU VÀO (CALCULATION)</t>
  </si>
  <si>
    <t>BẢNG QUY ĐỔI TIÊU CHUẨN (Dữ liệu tham chiếu)</t>
  </si>
  <si>
    <t>DN</t>
  </si>
  <si>
    <t>inch</t>
  </si>
  <si>
    <t>mm</t>
  </si>
  <si>
    <t>Phi (Ø)</t>
  </si>
  <si>
    <t>V</t>
  </si>
  <si>
    <t>m³/min</t>
  </si>
  <si>
    <t>1/8</t>
  </si>
  <si>
    <t>Ø</t>
  </si>
  <si>
    <t>1/4</t>
  </si>
  <si>
    <t>L</t>
  </si>
  <si>
    <t>m</t>
  </si>
  <si>
    <t>3/8</t>
  </si>
  <si>
    <t>Ø 17</t>
  </si>
  <si>
    <t>1/2</t>
  </si>
  <si>
    <t>Ø 21</t>
  </si>
  <si>
    <t>Δ_p</t>
  </si>
  <si>
    <t>bar</t>
  </si>
  <si>
    <t>Độ sụt áp mong muốn (Intended pressure drop)</t>
  </si>
  <si>
    <t>3/4</t>
  </si>
  <si>
    <t>Ø 27</t>
  </si>
  <si>
    <t>1</t>
  </si>
  <si>
    <t>Ø 34</t>
  </si>
  <si>
    <t>P_max</t>
  </si>
  <si>
    <t>Áp suất ngắt tải (Switch off pressure)</t>
  </si>
  <si>
    <t>1 1/4</t>
  </si>
  <si>
    <t>Ø 42</t>
  </si>
  <si>
    <t>1 1/2</t>
  </si>
  <si>
    <t>Ø 49</t>
  </si>
  <si>
    <t>2</t>
  </si>
  <si>
    <t>Ø 60</t>
  </si>
  <si>
    <t>2 1/2</t>
  </si>
  <si>
    <t>Ø 73</t>
  </si>
  <si>
    <t>3</t>
  </si>
  <si>
    <t>Ø 89</t>
  </si>
  <si>
    <t>Tính toán:</t>
  </si>
  <si>
    <t>3 1/2</t>
  </si>
  <si>
    <t>Ø 100</t>
  </si>
  <si>
    <t>4</t>
  </si>
  <si>
    <t>Ø 114</t>
  </si>
  <si>
    <t>4 1/2</t>
  </si>
  <si>
    <t>Ø 127</t>
  </si>
  <si>
    <t>5</t>
  </si>
  <si>
    <t>Ø 141</t>
  </si>
  <si>
    <t>6</t>
  </si>
  <si>
    <t>Ø 168</t>
  </si>
  <si>
    <t>8</t>
  </si>
  <si>
    <t>Ø 219</t>
  </si>
  <si>
    <t>10</t>
  </si>
  <si>
    <t>Ø 273</t>
  </si>
  <si>
    <t>12</t>
  </si>
  <si>
    <t>Ø 324</t>
  </si>
  <si>
    <t>14</t>
  </si>
  <si>
    <t>Ø 356</t>
  </si>
  <si>
    <t>16</t>
  </si>
  <si>
    <t>Ø 406</t>
  </si>
  <si>
    <t>18</t>
  </si>
  <si>
    <t>Ø 457</t>
  </si>
  <si>
    <t>20</t>
  </si>
  <si>
    <t>Ø 508</t>
  </si>
  <si>
    <t>24</t>
  </si>
  <si>
    <t>Ø 610</t>
  </si>
  <si>
    <t xml:space="preserve">TÍNH TOÁN &amp; CHỌN KÍCH THƯỚC ỐNG </t>
  </si>
  <si>
    <t>ống DN:</t>
  </si>
  <si>
    <t>ống Phi:</t>
  </si>
  <si>
    <t>Lưu lượng máy nén khí (Total volumetric flow)</t>
  </si>
  <si>
    <t>Chiều dài đường ống (Pipe length to accommodate)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</si>
</sst>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008CBA"/>
      <name val="Arial"/>
    </font>
    <font>
      <b/>
      <sz val="14"/>
      <color rgb="FFFFFFFF"/>
      <name val="Arial"/>
    </font>
    <font>
      <b/>
      <sz val="11"/>
      <name val="Arial"/>
    </font>
    <font>
      <sz val="11"/>
      <name val="Arial"/>
    </font>
    <font>
      <i/>
      <sz val="11"/>
      <color rgb="FF555555"/>
      <name val="Arial"/>
    </font>
    <font>
      <b/>
      <sz val="14"/>
      <color rgb="FF333333"/>
      <name val="Arial"/>
    </font>
    <font>
      <i/>
      <sz val="10"/>
      <color rgb="FFFF0000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8CBA"/>
        <bgColor rgb="FF008CBA"/>
      </patternFill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  <fill>
      <patternFill patternType="solid">
        <fgColor rgb="FF28A745"/>
        <bgColor rgb="FF28A745"/>
      </patternFill>
    </fill>
    <fill>
      <patternFill patternType="solid">
        <fgColor rgb="FF1F497D"/>
        <bgColor rgb="FF1F497D"/>
      </patternFill>
    </fill>
    <fill>
      <patternFill patternType="solid">
        <fgColor rgb="FFD9EDF7"/>
        <bgColor rgb="FFD9ED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9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0" xfId="0" applyFont="1"/>
    <xf numFmtId="4" fontId="6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971550</xdr:colOff>
      <xdr:row>2</xdr:row>
      <xdr:rowOff>133350</xdr:rowOff>
    </xdr:from>
    <xdr:to>
      <xdr:col>16</xdr:col>
      <xdr:colOff>275730</xdr:colOff>
      <xdr:row>30</xdr:row>
      <xdr:rowOff>8824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7C480-F2FE-48BE-A47E-37D3AE4CE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025" y="581025"/>
          <a:ext cx="3961905" cy="5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9"/>
  <sheetViews>
    <sheetView tabSelected="1" workbookViewId="0">
      <selection activeCell="B15" sqref="B15:E15"/>
    </sheetView>
  </sheetViews>
  <sheetFormatPr defaultRowHeight="15" x14ac:dyDescent="0.25"/>
  <cols>
    <col min="1" max="1" width="3" customWidth="1"/>
    <col min="2" max="3" width="15" customWidth="1"/>
    <col min="4" max="4" width="10" customWidth="1"/>
    <col min="5" max="5" width="45" customWidth="1"/>
    <col min="6" max="6" width="5" customWidth="1"/>
    <col min="7" max="7" width="16.28515625" customWidth="1"/>
    <col min="8" max="8" width="10" customWidth="1"/>
    <col min="9" max="9" width="12" customWidth="1"/>
    <col min="10" max="10" width="15" customWidth="1"/>
  </cols>
  <sheetData>
    <row r="2" spans="2:10" ht="20.25" x14ac:dyDescent="0.25">
      <c r="B2" s="14" t="s">
        <v>63</v>
      </c>
      <c r="C2" s="11"/>
      <c r="D2" s="11"/>
      <c r="E2" s="11"/>
    </row>
    <row r="4" spans="2:10" ht="18" x14ac:dyDescent="0.25">
      <c r="B4" s="12" t="s">
        <v>0</v>
      </c>
      <c r="C4" s="11"/>
      <c r="D4" s="11"/>
      <c r="E4" s="11"/>
      <c r="G4" s="13" t="s">
        <v>1</v>
      </c>
      <c r="H4" s="11"/>
      <c r="I4" s="11"/>
      <c r="J4" s="11"/>
    </row>
    <row r="5" spans="2:10" x14ac:dyDescent="0.25">
      <c r="G5" s="1" t="s">
        <v>2</v>
      </c>
      <c r="H5" s="1" t="s">
        <v>3</v>
      </c>
      <c r="I5" s="1" t="s">
        <v>4</v>
      </c>
      <c r="J5" s="1" t="s">
        <v>5</v>
      </c>
    </row>
    <row r="6" spans="2:10" x14ac:dyDescent="0.25">
      <c r="B6" s="2" t="s">
        <v>6</v>
      </c>
      <c r="C6" s="3">
        <v>12.2</v>
      </c>
      <c r="D6" s="4" t="s">
        <v>7</v>
      </c>
      <c r="E6" s="5" t="s">
        <v>66</v>
      </c>
      <c r="G6" s="6">
        <v>6</v>
      </c>
      <c r="H6" s="6" t="s">
        <v>8</v>
      </c>
      <c r="I6" s="6">
        <v>10.29</v>
      </c>
      <c r="J6" s="6" t="s">
        <v>9</v>
      </c>
    </row>
    <row r="7" spans="2:10" x14ac:dyDescent="0.25">
      <c r="G7" s="6">
        <v>8</v>
      </c>
      <c r="H7" s="6" t="s">
        <v>10</v>
      </c>
      <c r="I7" s="6">
        <v>13.72</v>
      </c>
      <c r="J7" s="6" t="s">
        <v>9</v>
      </c>
    </row>
    <row r="8" spans="2:10" x14ac:dyDescent="0.25">
      <c r="B8" s="2" t="s">
        <v>11</v>
      </c>
      <c r="C8" s="3">
        <v>50</v>
      </c>
      <c r="D8" s="4" t="s">
        <v>12</v>
      </c>
      <c r="E8" s="5" t="s">
        <v>67</v>
      </c>
      <c r="G8" s="6">
        <v>10</v>
      </c>
      <c r="H8" s="6" t="s">
        <v>13</v>
      </c>
      <c r="I8" s="6">
        <v>17.149999999999999</v>
      </c>
      <c r="J8" s="6" t="s">
        <v>14</v>
      </c>
    </row>
    <row r="9" spans="2:10" x14ac:dyDescent="0.25">
      <c r="G9" s="6">
        <v>15</v>
      </c>
      <c r="H9" s="6" t="s">
        <v>15</v>
      </c>
      <c r="I9" s="6">
        <v>21.34</v>
      </c>
      <c r="J9" s="6" t="s">
        <v>16</v>
      </c>
    </row>
    <row r="10" spans="2:10" x14ac:dyDescent="0.25">
      <c r="B10" s="2" t="s">
        <v>17</v>
      </c>
      <c r="C10" s="3">
        <v>0.1</v>
      </c>
      <c r="D10" s="4" t="s">
        <v>18</v>
      </c>
      <c r="E10" s="5" t="s">
        <v>19</v>
      </c>
      <c r="G10" s="6">
        <v>20</v>
      </c>
      <c r="H10" s="6" t="s">
        <v>20</v>
      </c>
      <c r="I10" s="6">
        <v>26.67</v>
      </c>
      <c r="J10" s="6" t="s">
        <v>21</v>
      </c>
    </row>
    <row r="11" spans="2:10" x14ac:dyDescent="0.25">
      <c r="G11" s="6">
        <v>25</v>
      </c>
      <c r="H11" s="6" t="s">
        <v>22</v>
      </c>
      <c r="I11" s="6">
        <v>33.4</v>
      </c>
      <c r="J11" s="6" t="s">
        <v>23</v>
      </c>
    </row>
    <row r="12" spans="2:10" x14ac:dyDescent="0.25">
      <c r="B12" s="2" t="s">
        <v>24</v>
      </c>
      <c r="C12" s="3">
        <v>7</v>
      </c>
      <c r="D12" s="4" t="s">
        <v>18</v>
      </c>
      <c r="E12" s="5" t="s">
        <v>25</v>
      </c>
      <c r="G12" s="6">
        <v>32</v>
      </c>
      <c r="H12" s="6" t="s">
        <v>26</v>
      </c>
      <c r="I12" s="6">
        <v>42.16</v>
      </c>
      <c r="J12" s="6" t="s">
        <v>27</v>
      </c>
    </row>
    <row r="13" spans="2:10" x14ac:dyDescent="0.25">
      <c r="G13" s="6">
        <v>40</v>
      </c>
      <c r="H13" s="6" t="s">
        <v>28</v>
      </c>
      <c r="I13" s="6">
        <v>48.26</v>
      </c>
      <c r="J13" s="6" t="s">
        <v>29</v>
      </c>
    </row>
    <row r="14" spans="2:10" x14ac:dyDescent="0.25">
      <c r="G14" s="6">
        <v>50</v>
      </c>
      <c r="H14" s="6" t="s">
        <v>30</v>
      </c>
      <c r="I14" s="6">
        <v>60.33</v>
      </c>
      <c r="J14" s="6" t="s">
        <v>31</v>
      </c>
    </row>
    <row r="15" spans="2:10" ht="18" x14ac:dyDescent="0.25">
      <c r="B15" s="12"/>
      <c r="C15" s="11"/>
      <c r="D15" s="11"/>
      <c r="E15" s="11"/>
      <c r="G15" s="6">
        <v>65</v>
      </c>
      <c r="H15" s="6" t="s">
        <v>32</v>
      </c>
      <c r="I15" s="6">
        <v>73.03</v>
      </c>
      <c r="J15" s="6" t="s">
        <v>33</v>
      </c>
    </row>
    <row r="16" spans="2:10" x14ac:dyDescent="0.25">
      <c r="G16" s="6">
        <v>80</v>
      </c>
      <c r="H16" s="6" t="s">
        <v>34</v>
      </c>
      <c r="I16" s="6">
        <v>88.9</v>
      </c>
      <c r="J16" s="6" t="s">
        <v>35</v>
      </c>
    </row>
    <row r="17" spans="2:10" ht="18" x14ac:dyDescent="0.25">
      <c r="B17" s="7" t="s">
        <v>36</v>
      </c>
      <c r="C17" s="8">
        <f>((1.6 * ((C6/60)^1.85) * C8 * (10^8)) / (C10 * C12))^(1/5)</f>
        <v>56.968602266287689</v>
      </c>
      <c r="D17" s="7" t="s">
        <v>4</v>
      </c>
      <c r="G17" s="6">
        <v>90</v>
      </c>
      <c r="H17" s="6" t="s">
        <v>37</v>
      </c>
      <c r="I17" s="6">
        <v>101.6</v>
      </c>
      <c r="J17" s="6" t="s">
        <v>38</v>
      </c>
    </row>
    <row r="18" spans="2:10" x14ac:dyDescent="0.25">
      <c r="G18" s="6">
        <v>100</v>
      </c>
      <c r="H18" s="6" t="s">
        <v>39</v>
      </c>
      <c r="I18" s="6">
        <v>114.3</v>
      </c>
      <c r="J18" s="6" t="s">
        <v>40</v>
      </c>
    </row>
    <row r="19" spans="2:10" ht="18" x14ac:dyDescent="0.25">
      <c r="B19" s="7" t="s">
        <v>64</v>
      </c>
      <c r="C19" s="9">
        <f>IFERROR(INDEX(G6:G29, MATCH(TRUE, INDEX(I6:I29&gt;=C17, 0), 0)), "Ngoài dải")</f>
        <v>50</v>
      </c>
      <c r="D19" s="7" t="s">
        <v>2</v>
      </c>
      <c r="G19" s="6">
        <v>115</v>
      </c>
      <c r="H19" s="6" t="s">
        <v>41</v>
      </c>
      <c r="I19" s="6">
        <v>127</v>
      </c>
      <c r="J19" s="6" t="s">
        <v>42</v>
      </c>
    </row>
    <row r="20" spans="2:10" x14ac:dyDescent="0.25">
      <c r="G20" s="6">
        <v>125</v>
      </c>
      <c r="H20" s="6" t="s">
        <v>43</v>
      </c>
      <c r="I20" s="6">
        <v>141.30000000000001</v>
      </c>
      <c r="J20" s="6" t="s">
        <v>44</v>
      </c>
    </row>
    <row r="21" spans="2:10" ht="18" x14ac:dyDescent="0.25">
      <c r="B21" s="7" t="s">
        <v>65</v>
      </c>
      <c r="C21" s="9" t="str">
        <f>IFERROR(INDEX(J6:J29, MATCH(TRUE, INDEX(I6:I29&gt;=C17, 0), 0)), "Ngoài dải")</f>
        <v>Ø 60</v>
      </c>
      <c r="G21" s="6">
        <v>150</v>
      </c>
      <c r="H21" s="6" t="s">
        <v>45</v>
      </c>
      <c r="I21" s="6">
        <v>168.28</v>
      </c>
      <c r="J21" s="6" t="s">
        <v>46</v>
      </c>
    </row>
    <row r="22" spans="2:10" x14ac:dyDescent="0.25">
      <c r="G22" s="6">
        <v>200</v>
      </c>
      <c r="H22" s="6" t="s">
        <v>47</v>
      </c>
      <c r="I22" s="6">
        <v>219.08</v>
      </c>
      <c r="J22" s="6" t="s">
        <v>48</v>
      </c>
    </row>
    <row r="23" spans="2:10" ht="31.5" customHeight="1" x14ac:dyDescent="0.25">
      <c r="B23" s="10"/>
      <c r="C23" s="11"/>
      <c r="D23" s="11"/>
      <c r="E23" s="11"/>
      <c r="G23" s="6">
        <v>250</v>
      </c>
      <c r="H23" s="6" t="s">
        <v>49</v>
      </c>
      <c r="I23" s="6">
        <v>273.05</v>
      </c>
      <c r="J23" s="6" t="s">
        <v>50</v>
      </c>
    </row>
    <row r="24" spans="2:10" x14ac:dyDescent="0.25">
      <c r="G24" s="6">
        <v>300</v>
      </c>
      <c r="H24" s="6" t="s">
        <v>51</v>
      </c>
      <c r="I24" s="6">
        <v>323.85000000000002</v>
      </c>
      <c r="J24" s="6" t="s">
        <v>52</v>
      </c>
    </row>
    <row r="25" spans="2:10" x14ac:dyDescent="0.25">
      <c r="G25" s="6">
        <v>350</v>
      </c>
      <c r="H25" s="6" t="s">
        <v>53</v>
      </c>
      <c r="I25" s="6">
        <v>355.6</v>
      </c>
      <c r="J25" s="6" t="s">
        <v>54</v>
      </c>
    </row>
    <row r="26" spans="2:10" x14ac:dyDescent="0.25">
      <c r="G26" s="6">
        <v>400</v>
      </c>
      <c r="H26" s="6" t="s">
        <v>55</v>
      </c>
      <c r="I26" s="6">
        <v>406.4</v>
      </c>
      <c r="J26" s="6" t="s">
        <v>56</v>
      </c>
    </row>
    <row r="27" spans="2:10" x14ac:dyDescent="0.25">
      <c r="G27" s="6">
        <v>450</v>
      </c>
      <c r="H27" s="6" t="s">
        <v>57</v>
      </c>
      <c r="I27" s="6">
        <v>457.2</v>
      </c>
      <c r="J27" s="6" t="s">
        <v>58</v>
      </c>
    </row>
    <row r="28" spans="2:10" x14ac:dyDescent="0.25">
      <c r="G28" s="6">
        <v>500</v>
      </c>
      <c r="H28" s="6" t="s">
        <v>59</v>
      </c>
      <c r="I28" s="6">
        <v>508</v>
      </c>
      <c r="J28" s="6" t="s">
        <v>60</v>
      </c>
    </row>
    <row r="29" spans="2:10" x14ac:dyDescent="0.25">
      <c r="G29" s="6">
        <v>600</v>
      </c>
      <c r="H29" s="6" t="s">
        <v>61</v>
      </c>
      <c r="I29" s="6">
        <v>609.6</v>
      </c>
      <c r="J29" s="6" t="s">
        <v>62</v>
      </c>
    </row>
  </sheetData>
  <mergeCells count="5">
    <mergeCell ref="B23:E23"/>
    <mergeCell ref="B4:E4"/>
    <mergeCell ref="G4:J4"/>
    <mergeCell ref="B15:E15"/>
    <mergeCell ref="B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toán đường kính 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2026-09-04T08:59:40Z</dcterms:created>
  <dcterms:modified xsi:type="dcterms:W3CDTF">2026-09-08T07:21:44Z</dcterms:modified>
</cp:coreProperties>
</file>