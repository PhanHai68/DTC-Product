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han Luong Hai\Desktop\nguyên liệu app\chốt\"/>
    </mc:Choice>
  </mc:AlternateContent>
  <xr:revisionPtr revIDLastSave="0" documentId="8_{62D67322-127C-46D7-98A9-E2946332C2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ảng Tính Năng Suất &amp; Phân Tí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C16" i="1"/>
  <c r="B20" i="1" s="1"/>
  <c r="C15" i="1"/>
  <c r="C14" i="1"/>
  <c r="C13" i="1"/>
  <c r="C12" i="1"/>
  <c r="B5" i="1"/>
  <c r="B6" i="1" s="1"/>
</calcChain>
</file>

<file path=xl/sharedStrings.xml><?xml version="1.0" encoding="utf-8"?>
<sst xmlns="http://schemas.openxmlformats.org/spreadsheetml/2006/main" count="34" uniqueCount="33">
  <si>
    <t>PHẦN 1: TÍNH NĂNG SUẤT</t>
  </si>
  <si>
    <t>DIỄN GIẢI CÁCH TÍNH</t>
  </si>
  <si>
    <t>Nhập Khối lượng (kg):</t>
  </si>
  <si>
    <t>Nhập số Kg đã cân</t>
  </si>
  <si>
    <t>Nhập Thời gian đo (Phút):</t>
  </si>
  <si>
    <t>Nhập số Phút</t>
  </si>
  <si>
    <t>Nhập Thời gian đo (Giây):</t>
  </si>
  <si>
    <t>Nhập số Giây lẻ</t>
  </si>
  <si>
    <t>Tổng thời gian quy ra giây:</t>
  </si>
  <si>
    <t>Công thức: (Phút * 60) + Giây</t>
  </si>
  <si>
    <t>KẾT QUẢ NĂNG SUẤT (Kg/Giờ):</t>
  </si>
  <si>
    <t>Công thức: (Khối lượng / Tổng số giây) * 3600 (quy ra giờ)</t>
  </si>
  <si>
    <t>PHẦN 2: PHÂN TÍCH MẪU (%)</t>
  </si>
  <si>
    <t>Nhập Tổng khối lượng lấy mẫu (g):</t>
  </si>
  <si>
    <t>Ví dụ: Lấy 20g để đếm hạt</t>
  </si>
  <si>
    <t>CHI TIẾT CÁC LOẠI HẠT XẤU</t>
  </si>
  <si>
    <t>Nhập Khối lượng (g)</t>
  </si>
  <si>
    <t>Tỷ lệ phần trăm (%)</t>
  </si>
  <si>
    <t>Công thức tính Tỷ lệ (%)</t>
  </si>
  <si>
    <t>1. Vàng hư lẫn</t>
  </si>
  <si>
    <t>Khối lượng Vàng hư / Tổng khối lượng mẫu</t>
  </si>
  <si>
    <t>2. Bạc bụng 1/2 lẫn</t>
  </si>
  <si>
    <t>Khối lượng Bạc bụng 1/2 / Tổng khối lượng mẫu</t>
  </si>
  <si>
    <t>3. Bạc bụng 2/3 lẫn</t>
  </si>
  <si>
    <t>Khối lượng Bạc bụng 2/3 / Tổng khối lượng mẫu</t>
  </si>
  <si>
    <t>4. Loại hạt xấu khác 1 (nếu có)</t>
  </si>
  <si>
    <t>Tương tự như trên</t>
  </si>
  <si>
    <t>5. Loại hạt xấu khác 2 (nếu có)</t>
  </si>
  <si>
    <t>TỔNG KẾT MẪU</t>
  </si>
  <si>
    <t>Tổng phần trăm HẠT XẤU:</t>
  </si>
  <si>
    <t>Cộng tổng của tất cả các tỷ lệ hạt xấu ở trên</t>
  </si>
  <si>
    <t>Tổng phần trăm HẠT TỐT:</t>
  </si>
  <si>
    <t>Lấy 100% trừ đi Tổng phần trăm hạt xấu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</si>
</sst>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2" borderId="0" xfId="0" applyFont="1" applyFill="1" applyAlignment="1"/>
    <xf numFmtId="0" fontId="0" fillId="2" borderId="0" xfId="0" applyFont="1" applyFill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workbookViewId="0">
      <selection activeCell="G15" sqref="G15"/>
    </sheetView>
  </sheetViews>
  <sheetFormatPr defaultColWidth="12.6328125" defaultRowHeight="15.75" customHeight="1" x14ac:dyDescent="0.25"/>
  <cols>
    <col min="1" max="1" width="28.36328125" customWidth="1"/>
    <col min="2" max="2" width="19.26953125" customWidth="1"/>
    <col min="3" max="3" width="17.81640625" customWidth="1"/>
  </cols>
  <sheetData>
    <row r="1" spans="1:6" ht="15.75" customHeight="1" x14ac:dyDescent="0.25">
      <c r="A1" s="3" t="s">
        <v>0</v>
      </c>
      <c r="B1" s="4"/>
      <c r="C1" s="4"/>
      <c r="D1" s="3" t="s">
        <v>1</v>
      </c>
      <c r="E1" s="4"/>
      <c r="F1" s="4"/>
    </row>
    <row r="2" spans="1:6" ht="15.75" customHeight="1" x14ac:dyDescent="0.25">
      <c r="A2" s="1" t="s">
        <v>2</v>
      </c>
      <c r="B2" s="5">
        <v>10</v>
      </c>
      <c r="D2" s="1" t="s">
        <v>3</v>
      </c>
    </row>
    <row r="3" spans="1:6" ht="15.75" customHeight="1" x14ac:dyDescent="0.25">
      <c r="A3" s="1" t="s">
        <v>4</v>
      </c>
      <c r="B3" s="5">
        <v>1</v>
      </c>
      <c r="D3" s="1" t="s">
        <v>5</v>
      </c>
    </row>
    <row r="4" spans="1:6" ht="15.75" customHeight="1" x14ac:dyDescent="0.25">
      <c r="A4" s="1" t="s">
        <v>6</v>
      </c>
      <c r="B4" s="5">
        <v>1</v>
      </c>
      <c r="D4" s="1" t="s">
        <v>7</v>
      </c>
    </row>
    <row r="5" spans="1:6" ht="15.75" customHeight="1" x14ac:dyDescent="0.25">
      <c r="A5" s="1" t="s">
        <v>8</v>
      </c>
      <c r="B5" s="5">
        <f>B3*60+B4</f>
        <v>61</v>
      </c>
      <c r="D5" s="1" t="s">
        <v>9</v>
      </c>
    </row>
    <row r="6" spans="1:6" ht="15.75" customHeight="1" x14ac:dyDescent="0.25">
      <c r="A6" s="1" t="s">
        <v>10</v>
      </c>
      <c r="B6" s="7">
        <f>(B2/B5)*3600</f>
        <v>590.1639344262295</v>
      </c>
      <c r="D6" s="1" t="s">
        <v>11</v>
      </c>
    </row>
    <row r="8" spans="1:6" ht="15.75" customHeight="1" x14ac:dyDescent="0.25">
      <c r="A8" s="3" t="s">
        <v>12</v>
      </c>
      <c r="B8" s="4"/>
      <c r="C8" s="4"/>
      <c r="D8" s="4"/>
      <c r="E8" s="4"/>
      <c r="F8" s="4"/>
    </row>
    <row r="9" spans="1:6" ht="15.75" customHeight="1" x14ac:dyDescent="0.25">
      <c r="A9" s="1" t="s">
        <v>13</v>
      </c>
      <c r="B9" s="5">
        <v>20</v>
      </c>
      <c r="D9" s="1" t="s">
        <v>14</v>
      </c>
    </row>
    <row r="11" spans="1:6" ht="15.75" customHeight="1" x14ac:dyDescent="0.25">
      <c r="A11" s="1" t="s">
        <v>15</v>
      </c>
      <c r="B11" s="1" t="s">
        <v>16</v>
      </c>
      <c r="C11" s="1" t="s">
        <v>17</v>
      </c>
      <c r="D11" s="1" t="s">
        <v>18</v>
      </c>
    </row>
    <row r="12" spans="1:6" ht="15.75" customHeight="1" x14ac:dyDescent="0.25">
      <c r="A12" s="1" t="s">
        <v>19</v>
      </c>
      <c r="B12" s="6">
        <v>6</v>
      </c>
      <c r="C12" s="5">
        <f>B12/$B$9*100</f>
        <v>30</v>
      </c>
      <c r="D12" s="1" t="s">
        <v>20</v>
      </c>
    </row>
    <row r="13" spans="1:6" ht="15.75" customHeight="1" x14ac:dyDescent="0.25">
      <c r="A13" s="1" t="s">
        <v>21</v>
      </c>
      <c r="B13" s="6">
        <v>3</v>
      </c>
      <c r="C13" s="5">
        <f>B13/$B$9*100</f>
        <v>15</v>
      </c>
      <c r="D13" s="1" t="s">
        <v>22</v>
      </c>
    </row>
    <row r="14" spans="1:6" ht="15.75" customHeight="1" x14ac:dyDescent="0.25">
      <c r="A14" s="1" t="s">
        <v>23</v>
      </c>
      <c r="B14" s="6">
        <v>4</v>
      </c>
      <c r="C14" s="5">
        <f>B14/$B$9*100</f>
        <v>20</v>
      </c>
      <c r="D14" s="1" t="s">
        <v>24</v>
      </c>
    </row>
    <row r="15" spans="1:6" ht="15.75" customHeight="1" x14ac:dyDescent="0.25">
      <c r="A15" s="1" t="s">
        <v>25</v>
      </c>
      <c r="B15" s="6">
        <v>0</v>
      </c>
      <c r="C15" s="5">
        <f>B15/$B$9*100</f>
        <v>0</v>
      </c>
      <c r="D15" s="1" t="s">
        <v>26</v>
      </c>
    </row>
    <row r="16" spans="1:6" ht="15.75" customHeight="1" x14ac:dyDescent="0.25">
      <c r="A16" s="1" t="s">
        <v>27</v>
      </c>
      <c r="B16" s="6">
        <v>0</v>
      </c>
      <c r="C16" s="5">
        <f>B16/$B$9*100</f>
        <v>0</v>
      </c>
      <c r="D16" s="1" t="s">
        <v>26</v>
      </c>
    </row>
    <row r="18" spans="1:4" ht="15.75" customHeight="1" x14ac:dyDescent="0.25">
      <c r="A18" s="1" t="s">
        <v>28</v>
      </c>
    </row>
    <row r="19" spans="1:4" ht="15.75" customHeight="1" x14ac:dyDescent="0.25">
      <c r="A19" s="1" t="s">
        <v>29</v>
      </c>
      <c r="B19" s="2">
        <f>SUM(C12:C16)</f>
        <v>65</v>
      </c>
      <c r="D19" s="1" t="s">
        <v>30</v>
      </c>
    </row>
    <row r="20" spans="1:4" ht="15.75" customHeight="1" x14ac:dyDescent="0.25">
      <c r="A20" s="1" t="s">
        <v>31</v>
      </c>
      <c r="B20" s="2">
        <f>100-B19</f>
        <v>35</v>
      </c>
      <c r="D20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Năng Suất &amp; Phân Tích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Hai</dc:creator>
  <cp:lastModifiedBy>Phan Luong Hai</cp:lastModifiedBy>
  <dcterms:created xsi:type="dcterms:W3CDTF">2026-09-05T08:37:19Z</dcterms:created>
  <dcterms:modified xsi:type="dcterms:W3CDTF">2026-09-05T08:37:19Z</dcterms:modified>
</cp:coreProperties>
</file>