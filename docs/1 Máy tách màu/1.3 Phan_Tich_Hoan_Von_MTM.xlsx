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Flutter_Project\DTCproduct\docs\1 Máy tách màu\"/>
    </mc:Choice>
  </mc:AlternateContent>
  <xr:revisionPtr revIDLastSave="0" documentId="13_ncr:1_{73614170-DA4D-424B-96B3-EE6F1F6B7376}" xr6:coauthVersionLast="47" xr6:coauthVersionMax="47" xr10:uidLastSave="{00000000-0000-0000-0000-000000000000}"/>
  <bookViews>
    <workbookView xWindow="6540" yWindow="1680" windowWidth="14400" windowHeight="7365" xr2:uid="{00000000-000D-0000-FFFF-FFFF00000000}"/>
  </bookViews>
  <sheets>
    <sheet name="Bảng Tính Lợi Nhuận - Máy Tách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5" i="1"/>
  <c r="G6" i="1"/>
  <c r="G7" i="1"/>
  <c r="G8" i="1"/>
  <c r="B25" i="1"/>
  <c r="B30" i="1" s="1"/>
  <c r="B17" i="1"/>
  <c r="B16" i="1"/>
  <c r="B15" i="1"/>
  <c r="B14" i="1"/>
  <c r="B13" i="1"/>
  <c r="B45" i="1" l="1"/>
  <c r="B18" i="1"/>
  <c r="B19" i="1" s="1"/>
  <c r="B43" i="1"/>
  <c r="B46" i="1" s="1"/>
  <c r="B44" i="1"/>
  <c r="B47" i="1" s="1"/>
  <c r="B26" i="1" l="1"/>
  <c r="B32" i="1" s="1"/>
  <c r="B33" i="1" s="1"/>
  <c r="B48" i="1"/>
  <c r="B37" i="1" l="1"/>
  <c r="B36" i="1"/>
</calcChain>
</file>

<file path=xl/sharedStrings.xml><?xml version="1.0" encoding="utf-8"?>
<sst xmlns="http://schemas.openxmlformats.org/spreadsheetml/2006/main" count="83" uniqueCount="79">
  <si>
    <t>PHẦN 1: CƠ SỞ DỮ LIỆU (DATABASE)</t>
  </si>
  <si>
    <t>Model</t>
  </si>
  <si>
    <t>Năng suất (Tấn/h)</t>
  </si>
  <si>
    <t>Máy tách màu (kW)</t>
  </si>
  <si>
    <t>Gàu tải (kW)</t>
  </si>
  <si>
    <t>Quạt hút (kW)</t>
  </si>
  <si>
    <t>Nén khí (kW)</t>
  </si>
  <si>
    <t>Tổng CS (kW)</t>
  </si>
  <si>
    <t>Giá Máy (VNĐ)</t>
  </si>
  <si>
    <t>Tổng Đầu Tư (VNĐ)</t>
  </si>
  <si>
    <t>SC16</t>
  </si>
  <si>
    <t>SC12</t>
  </si>
  <si>
    <t>SC10</t>
  </si>
  <si>
    <t>SC8</t>
  </si>
  <si>
    <t>SC4</t>
  </si>
  <si>
    <t>PHẦN 2: BẢNG TÍNH TOÁN (NHẬP LIỆU VÀO CỘT B)</t>
  </si>
  <si>
    <t>DIỄN GIẢI CÁCH TÍNH CHI TIẾT</t>
  </si>
  <si>
    <t>1. CÔNG SUẤT TIÊU THỤ ĐIỆN</t>
  </si>
  <si>
    <t>Chọn Model Máy:</t>
  </si>
  <si>
    <t>Chỉ cần gõ tên Model (Ví dụ: SC16 hoặc SC12). Hệ thống tự tìm dữ liệu.</t>
  </si>
  <si>
    <t>Năng suất (Tấn/h):</t>
  </si>
  <si>
    <t>Dùng VLOOKUP lấy tự động từ Database</t>
  </si>
  <si>
    <t>Máy tách màu (kW):</t>
  </si>
  <si>
    <t>Hệ thống gàu tải (kW):</t>
  </si>
  <si>
    <t>Quạt hút bụi (kW):</t>
  </si>
  <si>
    <t>Hệ thống nén khí (kW):</t>
  </si>
  <si>
    <t>Công suất tối đa (kW):</t>
  </si>
  <si>
    <t>Công thức: Tính tổng công suất các thiết bị trên</t>
  </si>
  <si>
    <t>Công suất trung bình (kW):</t>
  </si>
  <si>
    <t>Công thức: Nhân hệ số tải 80% (0.8) theo logic của app</t>
  </si>
  <si>
    <t>2. TÍNH GIÁ ĐIỆN 1 NGÀY</t>
  </si>
  <si>
    <t>Nhập số giờ chạy khung giờ bình thường (VD: 7 giờ)</t>
  </si>
  <si>
    <t>Nhập số giờ chạy khung giờ thấp điểm (VD: 2 giờ)</t>
  </si>
  <si>
    <t>Nhập số giờ chạy khung giờ cao điểm (VD: 1 giờ)</t>
  </si>
  <si>
    <t>Tổng số giờ vận hành/ngày:</t>
  </si>
  <si>
    <t>Công thức: Tổng thời gian máy hoạt động trong ngày</t>
  </si>
  <si>
    <t>Tiền điện phải trả (VNĐ):</t>
  </si>
  <si>
    <t>Công thức: Công suất TB x (Giờ BT x Giá BT + Giờ TĐ x Giá TĐ + Giờ CĐ x Giá CĐ)</t>
  </si>
  <si>
    <t>3. LỢI NHUẬN GIA CÔNG MTM</t>
  </si>
  <si>
    <t>Nhập giá gia công 1 TẤN (VNĐ):</t>
  </si>
  <si>
    <t>Lưu ý: App ghi sai nhãn là 1 giờ; thực tế là tính theo 1 Tấn</t>
  </si>
  <si>
    <t>Số giờ vận hành 1 ngày:</t>
  </si>
  <si>
    <t>Tự động lấy từ tổng số giờ ở mục 2 (B24)</t>
  </si>
  <si>
    <t>Nhập lương nhân viên 1 ngày (VNĐ):</t>
  </si>
  <si>
    <t>Nhập chi phí nhân công theo ngày</t>
  </si>
  <si>
    <t>Chi phí điện 1 ngày (VNĐ):</t>
  </si>
  <si>
    <t>Tự động lấy từ tiền điện mục 2 (B25)</t>
  </si>
  <si>
    <t>Tổng Lợi Nhuận Gia Công (VNĐ):</t>
  </si>
  <si>
    <t>Công thức: (Giá gia công 1 tấn x Năng suất x Số giờ) - Tiền điện - Tiền lương</t>
  </si>
  <si>
    <t>4. TÍNH KHẤU HAO / HOÀN VỐN (THEO NGÀY)</t>
  </si>
  <si>
    <t>Thời gian hoàn vốn SC16 (Theo ngày):</t>
  </si>
  <si>
    <t>5. DOANH THU TỰ KINH DOANH GẠO</t>
  </si>
  <si>
    <t>Giá Gạo nguyên liệu mua vào (VNĐ/kg):</t>
  </si>
  <si>
    <t>Nhập giá mua lúa gạo đầu vào</t>
  </si>
  <si>
    <t>Giá Gạo thành phẩm bán ra (VNĐ/kg):</t>
  </si>
  <si>
    <t>Nhập giá bán gạo thành phẩm chất lượng cao</t>
  </si>
  <si>
    <t>Giá Gạo phế phẩm bán ra (VNĐ/kg):</t>
  </si>
  <si>
    <t>Nhập giá bán gạo phế phẩm (hạt đen, vàng...)</t>
  </si>
  <si>
    <t>Năng suất Thành Phẩm (Tấn/h):</t>
  </si>
  <si>
    <t>Công thức: Tỷ lệ thành phẩm được app ấn định là 96.875% (15.5 tấn trên 16 tấn)</t>
  </si>
  <si>
    <t>Năng suất Phế Phẩm (Tấn/h):</t>
  </si>
  <si>
    <t>Công thức: Tỷ lệ phế phẩm được app ấn định là 3.125% (0.5 tấn trên 16 tấn)</t>
  </si>
  <si>
    <t>Tổng Chi phí Mua Nguyên Liệu (VNĐ):</t>
  </si>
  <si>
    <t>Công thức: Tổng năng suất x 1000 (đổi ra kg) x Số giờ chạy x Giá mua nguyên liệu</t>
  </si>
  <si>
    <t>Tổng Doanh thu Bán Thành Phẩm (VNĐ):</t>
  </si>
  <si>
    <t>Công thức: Năng suất thành phẩm x 1000 x Số giờ chạy x Giá bán thành phẩm</t>
  </si>
  <si>
    <t>Tổng Doanh thu Bán Phế Phẩm (VNĐ):</t>
  </si>
  <si>
    <t>Công thức: Năng suất phế phẩm x 1000 x Số giờ chạy x Giá bán phế phẩm</t>
  </si>
  <si>
    <t>Lợi nhuận ròng Tự Kinh Doanh 1 ngày (VNĐ):</t>
  </si>
  <si>
    <t>Công thức: Doanh thu (Thành phẩm + Phế phẩm) - Phí nguyên liệu - Điện - Lương</t>
  </si>
  <si>
    <t>Tổng trọn Cụm phụ trợ (VNĐ)</t>
  </si>
  <si>
    <t>Thời gian hoàn vốn Trọn Cụm (Theo ngày):</t>
  </si>
  <si>
    <t>Số giờ chạy bình thường (1,811 đồng/kWh):</t>
  </si>
  <si>
    <t>Số giờ chạy cao điểm (3,266 đồng/kWh):</t>
  </si>
  <si>
    <t>Số giờ chạy thấp điểm (1,190 đồng/kWh ):</t>
  </si>
  <si>
    <t>sc16</t>
  </si>
  <si>
    <t>Công thức: Giá Máy tách màu / Tổng Lợi nhuận gia công 1 ngày</t>
  </si>
  <si>
    <t>Công thức: Giá trọn cụm máy tách màu và thiết bị phụ trợ / Lợi nhuận gia công 1 ngày</t>
  </si>
  <si>
    <t>SC16 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</si>
</sst>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/>
    <xf numFmtId="3" fontId="1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3" fontId="1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8"/>
  <sheetViews>
    <sheetView tabSelected="1" topLeftCell="A25" workbookViewId="0">
      <selection activeCell="D31" sqref="D31"/>
    </sheetView>
  </sheetViews>
  <sheetFormatPr defaultColWidth="12.5703125" defaultRowHeight="15.75" customHeight="1" x14ac:dyDescent="0.2"/>
  <cols>
    <col min="1" max="1" width="37.85546875" customWidth="1"/>
    <col min="2" max="2" width="15.42578125" customWidth="1"/>
    <col min="3" max="3" width="17.5703125" customWidth="1"/>
    <col min="7" max="7" width="18" customWidth="1"/>
    <col min="8" max="8" width="15.140625" bestFit="1" customWidth="1"/>
    <col min="9" max="9" width="28.140625" customWidth="1"/>
    <col min="10" max="10" width="19.28515625" customWidth="1"/>
  </cols>
  <sheetData>
    <row r="1" spans="1:10" ht="15.75" customHeight="1" x14ac:dyDescent="0.2">
      <c r="A1" s="11" t="s">
        <v>0</v>
      </c>
    </row>
    <row r="2" spans="1:10" ht="15.75" customHeight="1" x14ac:dyDescent="0.2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70</v>
      </c>
      <c r="J2" s="8" t="s">
        <v>9</v>
      </c>
    </row>
    <row r="3" spans="1:10" ht="15.75" customHeight="1" x14ac:dyDescent="0.2">
      <c r="A3" s="3" t="s">
        <v>10</v>
      </c>
      <c r="B3" s="3">
        <v>16</v>
      </c>
      <c r="C3" s="4">
        <v>5.9</v>
      </c>
      <c r="D3" s="3">
        <v>8</v>
      </c>
      <c r="E3" s="4">
        <v>7.5</v>
      </c>
      <c r="F3" s="3">
        <v>75</v>
      </c>
      <c r="G3" s="5">
        <f t="shared" ref="G3:G8" si="0">SUM(C3:F3)</f>
        <v>96.4</v>
      </c>
      <c r="H3" s="7">
        <v>1350000000</v>
      </c>
      <c r="I3" s="7">
        <v>975000000</v>
      </c>
      <c r="J3" s="7">
        <v>2325000000</v>
      </c>
    </row>
    <row r="4" spans="1:10" ht="15.75" customHeight="1" x14ac:dyDescent="0.2">
      <c r="A4" s="3" t="s">
        <v>78</v>
      </c>
      <c r="B4" s="3">
        <v>16</v>
      </c>
      <c r="C4" s="4">
        <v>5.9</v>
      </c>
      <c r="D4" s="3">
        <v>8</v>
      </c>
      <c r="E4" s="4">
        <v>7.5</v>
      </c>
      <c r="F4" s="3">
        <v>75</v>
      </c>
      <c r="G4" s="5">
        <f t="shared" si="0"/>
        <v>96.4</v>
      </c>
      <c r="H4" s="7">
        <v>1350000000</v>
      </c>
      <c r="I4" s="7">
        <v>975000000</v>
      </c>
      <c r="J4" s="7">
        <v>2325000000</v>
      </c>
    </row>
    <row r="5" spans="1:10" ht="15.75" customHeight="1" x14ac:dyDescent="0.2">
      <c r="A5" s="3" t="s">
        <v>11</v>
      </c>
      <c r="B5" s="3">
        <v>12</v>
      </c>
      <c r="C5" s="4">
        <v>5.9</v>
      </c>
      <c r="D5" s="3">
        <v>6</v>
      </c>
      <c r="E5" s="4">
        <v>7.5</v>
      </c>
      <c r="F5" s="3">
        <v>55</v>
      </c>
      <c r="G5" s="5">
        <f t="shared" si="0"/>
        <v>74.400000000000006</v>
      </c>
      <c r="H5" s="7">
        <v>1100000000</v>
      </c>
      <c r="I5" s="7">
        <v>855000000</v>
      </c>
      <c r="J5" s="7">
        <v>1955000000</v>
      </c>
    </row>
    <row r="6" spans="1:10" ht="15.75" customHeight="1" x14ac:dyDescent="0.2">
      <c r="A6" s="3" t="s">
        <v>12</v>
      </c>
      <c r="B6" s="3">
        <v>8</v>
      </c>
      <c r="C6" s="4">
        <v>3.5</v>
      </c>
      <c r="D6" s="3">
        <v>6</v>
      </c>
      <c r="E6" s="4">
        <v>5</v>
      </c>
      <c r="F6" s="3">
        <v>37</v>
      </c>
      <c r="G6" s="5">
        <f t="shared" si="0"/>
        <v>51.5</v>
      </c>
      <c r="H6" s="7">
        <v>900000000</v>
      </c>
      <c r="I6" s="7">
        <v>690000000</v>
      </c>
      <c r="J6" s="7">
        <v>1590000000</v>
      </c>
    </row>
    <row r="7" spans="1:10" ht="15.75" customHeight="1" x14ac:dyDescent="0.2">
      <c r="A7" s="3" t="s">
        <v>13</v>
      </c>
      <c r="B7" s="3">
        <v>6</v>
      </c>
      <c r="C7" s="4">
        <v>2.6</v>
      </c>
      <c r="D7" s="3">
        <v>6</v>
      </c>
      <c r="E7" s="4">
        <v>5</v>
      </c>
      <c r="F7" s="3">
        <v>22</v>
      </c>
      <c r="G7" s="5">
        <f t="shared" si="0"/>
        <v>35.6</v>
      </c>
      <c r="H7" s="7">
        <v>780000000</v>
      </c>
      <c r="I7" s="7">
        <v>470000000</v>
      </c>
      <c r="J7" s="7">
        <v>1250000000</v>
      </c>
    </row>
    <row r="8" spans="1:10" ht="15.75" customHeight="1" x14ac:dyDescent="0.2">
      <c r="A8" s="3" t="s">
        <v>14</v>
      </c>
      <c r="B8" s="3">
        <v>4</v>
      </c>
      <c r="C8" s="4">
        <v>1.7</v>
      </c>
      <c r="D8" s="3">
        <v>3</v>
      </c>
      <c r="E8" s="4">
        <v>3</v>
      </c>
      <c r="F8" s="3">
        <v>15</v>
      </c>
      <c r="G8" s="5">
        <f t="shared" si="0"/>
        <v>22.7</v>
      </c>
      <c r="H8" s="7">
        <v>450000000</v>
      </c>
      <c r="I8" s="7">
        <v>385000000</v>
      </c>
      <c r="J8" s="7">
        <v>835000000</v>
      </c>
    </row>
    <row r="10" spans="1:10" ht="15.75" customHeight="1" x14ac:dyDescent="0.2">
      <c r="A10" s="11" t="s">
        <v>15</v>
      </c>
      <c r="D10" s="1" t="s">
        <v>16</v>
      </c>
    </row>
    <row r="11" spans="1:10" ht="15.75" customHeight="1" x14ac:dyDescent="0.2">
      <c r="A11" s="9" t="s">
        <v>17</v>
      </c>
    </row>
    <row r="12" spans="1:10" ht="15.75" customHeight="1" x14ac:dyDescent="0.2">
      <c r="A12" s="1" t="s">
        <v>18</v>
      </c>
      <c r="B12" s="1" t="s">
        <v>75</v>
      </c>
      <c r="D12" s="1" t="s">
        <v>19</v>
      </c>
    </row>
    <row r="13" spans="1:10" ht="15.75" customHeight="1" x14ac:dyDescent="0.2">
      <c r="A13" s="1" t="s">
        <v>20</v>
      </c>
      <c r="B13" s="2">
        <f>VLOOKUP(B12, A3:J8, 2, FALSE)</f>
        <v>16</v>
      </c>
      <c r="D13" s="1" t="s">
        <v>21</v>
      </c>
    </row>
    <row r="14" spans="1:10" ht="15.75" customHeight="1" x14ac:dyDescent="0.2">
      <c r="A14" s="1" t="s">
        <v>22</v>
      </c>
      <c r="B14" s="2">
        <f>VLOOKUP(B12, A3:J8, 3, FALSE)</f>
        <v>5.9</v>
      </c>
      <c r="D14" s="1" t="s">
        <v>21</v>
      </c>
    </row>
    <row r="15" spans="1:10" ht="15.75" customHeight="1" x14ac:dyDescent="0.2">
      <c r="A15" s="1" t="s">
        <v>23</v>
      </c>
      <c r="B15" s="2">
        <f>VLOOKUP(B12, A3:J8, 4, FALSE)</f>
        <v>8</v>
      </c>
      <c r="D15" s="1" t="s">
        <v>21</v>
      </c>
    </row>
    <row r="16" spans="1:10" ht="15.75" customHeight="1" x14ac:dyDescent="0.2">
      <c r="A16" s="1" t="s">
        <v>24</v>
      </c>
      <c r="B16" s="2">
        <f>VLOOKUP(B12, A3:J8, 5, FALSE)</f>
        <v>7.5</v>
      </c>
      <c r="D16" s="1" t="s">
        <v>21</v>
      </c>
    </row>
    <row r="17" spans="1:4" ht="15.75" customHeight="1" x14ac:dyDescent="0.2">
      <c r="A17" s="1" t="s">
        <v>25</v>
      </c>
      <c r="B17" s="2">
        <f>VLOOKUP(B12, A3:J8, 6, FALSE)</f>
        <v>75</v>
      </c>
      <c r="D17" s="1" t="s">
        <v>21</v>
      </c>
    </row>
    <row r="18" spans="1:4" ht="15.75" customHeight="1" x14ac:dyDescent="0.2">
      <c r="A18" s="1" t="s">
        <v>26</v>
      </c>
      <c r="B18" s="2">
        <f>SUM(B14:B17)</f>
        <v>96.4</v>
      </c>
      <c r="D18" s="1" t="s">
        <v>27</v>
      </c>
    </row>
    <row r="19" spans="1:4" ht="15.75" customHeight="1" x14ac:dyDescent="0.2">
      <c r="A19" s="10" t="s">
        <v>28</v>
      </c>
      <c r="B19" s="2">
        <f>B18*0.8</f>
        <v>77.12</v>
      </c>
      <c r="D19" s="1" t="s">
        <v>29</v>
      </c>
    </row>
    <row r="21" spans="1:4" ht="15.75" customHeight="1" x14ac:dyDescent="0.2">
      <c r="A21" s="9" t="s">
        <v>30</v>
      </c>
    </row>
    <row r="22" spans="1:4" ht="15.75" customHeight="1" x14ac:dyDescent="0.2">
      <c r="A22" s="1" t="s">
        <v>72</v>
      </c>
      <c r="B22" s="1">
        <v>7</v>
      </c>
      <c r="D22" s="1" t="s">
        <v>31</v>
      </c>
    </row>
    <row r="23" spans="1:4" ht="12.75" x14ac:dyDescent="0.2">
      <c r="A23" s="1" t="s">
        <v>74</v>
      </c>
      <c r="B23" s="1">
        <v>2</v>
      </c>
      <c r="D23" s="1" t="s">
        <v>32</v>
      </c>
    </row>
    <row r="24" spans="1:4" ht="12.75" x14ac:dyDescent="0.2">
      <c r="A24" s="1" t="s">
        <v>73</v>
      </c>
      <c r="B24" s="1">
        <v>1</v>
      </c>
      <c r="D24" s="1" t="s">
        <v>33</v>
      </c>
    </row>
    <row r="25" spans="1:4" ht="12.75" x14ac:dyDescent="0.2">
      <c r="A25" s="1" t="s">
        <v>34</v>
      </c>
      <c r="B25" s="2">
        <f>SUM(B22:B24)</f>
        <v>10</v>
      </c>
      <c r="D25" s="1" t="s">
        <v>35</v>
      </c>
    </row>
    <row r="26" spans="1:4" ht="12.75" x14ac:dyDescent="0.2">
      <c r="A26" s="10" t="s">
        <v>36</v>
      </c>
      <c r="B26" s="13">
        <f>B19*(B22*1811+B23*1190+B24*3266)</f>
        <v>1413069.76</v>
      </c>
      <c r="D26" s="1" t="s">
        <v>37</v>
      </c>
    </row>
    <row r="28" spans="1:4" ht="12.75" x14ac:dyDescent="0.2">
      <c r="A28" s="9" t="s">
        <v>38</v>
      </c>
    </row>
    <row r="29" spans="1:4" ht="12.75" x14ac:dyDescent="0.2">
      <c r="A29" s="1" t="s">
        <v>39</v>
      </c>
      <c r="B29" s="1">
        <v>150000</v>
      </c>
      <c r="D29" s="1" t="s">
        <v>40</v>
      </c>
    </row>
    <row r="30" spans="1:4" ht="12.75" x14ac:dyDescent="0.2">
      <c r="A30" s="1" t="s">
        <v>41</v>
      </c>
      <c r="B30" s="2">
        <f>B25</f>
        <v>10</v>
      </c>
      <c r="D30" s="1" t="s">
        <v>42</v>
      </c>
    </row>
    <row r="31" spans="1:4" ht="12.75" x14ac:dyDescent="0.2">
      <c r="A31" s="1" t="s">
        <v>43</v>
      </c>
      <c r="B31" s="1">
        <v>500000</v>
      </c>
      <c r="D31" s="1" t="s">
        <v>44</v>
      </c>
    </row>
    <row r="32" spans="1:4" ht="12.75" x14ac:dyDescent="0.2">
      <c r="A32" s="1" t="s">
        <v>45</v>
      </c>
      <c r="B32" s="2">
        <f>B26</f>
        <v>1413069.76</v>
      </c>
      <c r="D32" s="1" t="s">
        <v>46</v>
      </c>
    </row>
    <row r="33" spans="1:4" ht="12.75" x14ac:dyDescent="0.2">
      <c r="A33" s="10" t="s">
        <v>47</v>
      </c>
      <c r="B33" s="13">
        <f>(B29*B13*B30)-B32-B31</f>
        <v>22086930.239999998</v>
      </c>
      <c r="D33" s="1" t="s">
        <v>48</v>
      </c>
    </row>
    <row r="35" spans="1:4" ht="12.75" x14ac:dyDescent="0.2">
      <c r="A35" s="9" t="s">
        <v>49</v>
      </c>
    </row>
    <row r="36" spans="1:4" ht="12.75" x14ac:dyDescent="0.2">
      <c r="A36" s="1" t="s">
        <v>50</v>
      </c>
      <c r="B36" s="12">
        <f>VLOOKUP(B12, A3:J8, 8, FALSE)/B33</f>
        <v>61.122119974604495</v>
      </c>
      <c r="D36" s="1" t="s">
        <v>76</v>
      </c>
    </row>
    <row r="37" spans="1:4" ht="12.75" x14ac:dyDescent="0.2">
      <c r="A37" s="10" t="s">
        <v>71</v>
      </c>
      <c r="B37" s="12">
        <f>VLOOKUP(B12, A3:J8, 10, FALSE)/B33</f>
        <v>105.26587328959664</v>
      </c>
      <c r="D37" s="1" t="s">
        <v>77</v>
      </c>
    </row>
    <row r="39" spans="1:4" ht="12.75" x14ac:dyDescent="0.2">
      <c r="A39" s="9" t="s">
        <v>51</v>
      </c>
    </row>
    <row r="40" spans="1:4" ht="12.75" x14ac:dyDescent="0.2">
      <c r="A40" s="1" t="s">
        <v>52</v>
      </c>
      <c r="B40" s="6">
        <v>9300</v>
      </c>
      <c r="D40" s="1" t="s">
        <v>53</v>
      </c>
    </row>
    <row r="41" spans="1:4" ht="12.75" x14ac:dyDescent="0.2">
      <c r="A41" s="1" t="s">
        <v>54</v>
      </c>
      <c r="B41" s="6">
        <v>9800</v>
      </c>
      <c r="D41" s="1" t="s">
        <v>55</v>
      </c>
    </row>
    <row r="42" spans="1:4" ht="12.75" x14ac:dyDescent="0.2">
      <c r="A42" s="1" t="s">
        <v>56</v>
      </c>
      <c r="B42" s="6">
        <v>7300</v>
      </c>
      <c r="D42" s="1" t="s">
        <v>57</v>
      </c>
    </row>
    <row r="43" spans="1:4" ht="12.75" x14ac:dyDescent="0.2">
      <c r="A43" s="1" t="s">
        <v>58</v>
      </c>
      <c r="B43" s="2">
        <f>B13*0.96875</f>
        <v>15.5</v>
      </c>
      <c r="D43" s="1" t="s">
        <v>59</v>
      </c>
    </row>
    <row r="44" spans="1:4" ht="12.75" x14ac:dyDescent="0.2">
      <c r="A44" s="1" t="s">
        <v>60</v>
      </c>
      <c r="B44" s="2">
        <f>B13*0.03125</f>
        <v>0.5</v>
      </c>
      <c r="D44" s="1" t="s">
        <v>61</v>
      </c>
    </row>
    <row r="45" spans="1:4" ht="12.75" x14ac:dyDescent="0.2">
      <c r="A45" s="1" t="s">
        <v>62</v>
      </c>
      <c r="B45" s="12">
        <f>B13*1000*B30*B40</f>
        <v>1488000000</v>
      </c>
      <c r="D45" s="1" t="s">
        <v>63</v>
      </c>
    </row>
    <row r="46" spans="1:4" ht="12.75" x14ac:dyDescent="0.2">
      <c r="A46" s="1" t="s">
        <v>64</v>
      </c>
      <c r="B46" s="12">
        <f>B43*1000*B30*B41</f>
        <v>1519000000</v>
      </c>
      <c r="D46" s="1" t="s">
        <v>65</v>
      </c>
    </row>
    <row r="47" spans="1:4" ht="12.75" x14ac:dyDescent="0.2">
      <c r="A47" s="1" t="s">
        <v>66</v>
      </c>
      <c r="B47" s="12">
        <f>B44*1000*B30*B42</f>
        <v>36500000</v>
      </c>
      <c r="D47" s="1" t="s">
        <v>67</v>
      </c>
    </row>
    <row r="48" spans="1:4" ht="12.75" x14ac:dyDescent="0.2">
      <c r="A48" s="10" t="s">
        <v>68</v>
      </c>
      <c r="B48" s="12">
        <f>(B46+B47)-B45</f>
        <v>67500000</v>
      </c>
      <c r="D48" s="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Tính Lợi Nhuận - Máy Tách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Luong Hai</dc:creator>
  <cp:lastModifiedBy>Phan Luong Hai</cp:lastModifiedBy>
  <dcterms:created xsi:type="dcterms:W3CDTF">2026-09-05T08:27:09Z</dcterms:created>
  <dcterms:modified xsi:type="dcterms:W3CDTF">2026-09-09T06:25:29Z</dcterms:modified>
</cp:coreProperties>
</file>