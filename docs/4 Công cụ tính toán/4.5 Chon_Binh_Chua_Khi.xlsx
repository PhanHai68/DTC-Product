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4 Công cụ tính toán\"/>
    </mc:Choice>
  </mc:AlternateContent>
  <xr:revisionPtr revIDLastSave="0" documentId="8_{1DC3B0A9-8C6D-441A-9FF7-D7F3799B467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ính toán bình chứa kh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25" i="1" s="1"/>
</calcChain>
</file>

<file path=xl/sharedStrings.xml><?xml version="1.0" encoding="utf-8"?>
<sst xmlns="http://schemas.openxmlformats.org/spreadsheetml/2006/main" count="22" uniqueCount="21">
  <si>
    <t>THÔNG SỐ ĐẦU VÀO (CALCULATION)</t>
  </si>
  <si>
    <t>Q_c</t>
  </si>
  <si>
    <t>m³/min</t>
  </si>
  <si>
    <t>Lưu lượng máy nén khí (Compressor capacity)</t>
  </si>
  <si>
    <t>t_c (f_max)</t>
  </si>
  <si>
    <t>Thời gian chu kỳ nạp/xả (Charge/discharge cycle time)</t>
  </si>
  <si>
    <t>P_U - P_L</t>
  </si>
  <si>
    <t>bar</t>
  </si>
  <si>
    <t>Chênh lệch áp suất (Pressure band)</t>
  </si>
  <si>
    <t>T_0</t>
  </si>
  <si>
    <t>°C</t>
  </si>
  <si>
    <t>Nhiệt độ trong bình chứa (Temp. in receiver)</t>
  </si>
  <si>
    <t>T_1</t>
  </si>
  <si>
    <t>Nhiệt độ tại đầu hút (Temp. @ air intake)</t>
  </si>
  <si>
    <t>KẾT QUẢ TÍNH TOÁN LÝ THUYẾT</t>
  </si>
  <si>
    <t>Lít (Dung tích lý thuyết)</t>
  </si>
  <si>
    <t>ĐỀ XUẤT CHỌN BÌNH TIÊU CHUẨN THỰC TẾ</t>
  </si>
  <si>
    <t>Lít (Bình tiêu chuẩn)</t>
  </si>
  <si>
    <t>* Ghi chú: Đã cập nhật thêm mức dung tích 2000 Lít vào thuật toán làm tròn.</t>
  </si>
  <si>
    <t xml:space="preserve">s </t>
  </si>
  <si>
    <t>TÍNH TOÁN DUNG TÍCH BÌNH CHỨA KHÍ NÉN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</si>
</sst>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8CBA"/>
      <name val="Arial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i/>
      <sz val="11"/>
      <color rgb="FF555555"/>
      <name val="Arial"/>
    </font>
    <font>
      <b/>
      <sz val="12"/>
      <color rgb="FF008CBA"/>
      <name val="Arial"/>
    </font>
    <font>
      <b/>
      <sz val="16"/>
      <color rgb="FFFFFFFF"/>
      <name val="Arial"/>
    </font>
    <font>
      <b/>
      <sz val="14"/>
      <color rgb="FF28A745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8CBA"/>
        <bgColor rgb="FF008CBA"/>
      </patternFill>
    </fill>
    <fill>
      <patternFill patternType="solid">
        <fgColor rgb="FFF9F9F9"/>
        <bgColor rgb="FFF9F9F9"/>
      </patternFill>
    </fill>
    <fill>
      <patternFill patternType="solid">
        <fgColor rgb="FF28A745"/>
        <bgColor rgb="FF28A74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9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7"/>
  <sheetViews>
    <sheetView tabSelected="1" workbookViewId="0">
      <selection activeCell="E31" sqref="E31"/>
    </sheetView>
  </sheetViews>
  <sheetFormatPr defaultRowHeight="14.5" x14ac:dyDescent="0.35"/>
  <cols>
    <col min="1" max="1" width="5" customWidth="1"/>
    <col min="2" max="2" width="15" customWidth="1"/>
    <col min="3" max="3" width="20" customWidth="1"/>
    <col min="4" max="4" width="15" customWidth="1"/>
    <col min="5" max="5" width="98.81640625" customWidth="1"/>
  </cols>
  <sheetData>
    <row r="2" spans="2:5" ht="23" x14ac:dyDescent="0.35">
      <c r="B2" s="10" t="s">
        <v>20</v>
      </c>
      <c r="C2" s="8"/>
      <c r="D2" s="8"/>
      <c r="E2" s="8"/>
    </row>
    <row r="5" spans="2:5" ht="18" x14ac:dyDescent="0.35">
      <c r="B5" s="7" t="s">
        <v>0</v>
      </c>
      <c r="C5" s="8"/>
      <c r="D5" s="8"/>
      <c r="E5" s="8"/>
    </row>
    <row r="7" spans="2:5" x14ac:dyDescent="0.35">
      <c r="B7" s="1" t="s">
        <v>1</v>
      </c>
      <c r="C7" s="2">
        <v>3.6</v>
      </c>
      <c r="D7" s="3" t="s">
        <v>2</v>
      </c>
      <c r="E7" s="4" t="s">
        <v>3</v>
      </c>
    </row>
    <row r="9" spans="2:5" x14ac:dyDescent="0.35">
      <c r="B9" s="1" t="s">
        <v>4</v>
      </c>
      <c r="C9" s="2">
        <v>20</v>
      </c>
      <c r="D9" s="3" t="s">
        <v>19</v>
      </c>
      <c r="E9" s="4" t="s">
        <v>5</v>
      </c>
    </row>
    <row r="11" spans="2:5" x14ac:dyDescent="0.35">
      <c r="B11" s="1" t="s">
        <v>6</v>
      </c>
      <c r="C11" s="2">
        <v>0.5</v>
      </c>
      <c r="D11" s="3" t="s">
        <v>7</v>
      </c>
      <c r="E11" s="4" t="s">
        <v>8</v>
      </c>
    </row>
    <row r="13" spans="2:5" x14ac:dyDescent="0.35">
      <c r="B13" s="1" t="s">
        <v>9</v>
      </c>
      <c r="C13" s="2">
        <v>40</v>
      </c>
      <c r="D13" s="3" t="s">
        <v>10</v>
      </c>
      <c r="E13" s="4" t="s">
        <v>11</v>
      </c>
    </row>
    <row r="15" spans="2:5" x14ac:dyDescent="0.35">
      <c r="B15" s="1" t="s">
        <v>12</v>
      </c>
      <c r="C15" s="2">
        <v>50</v>
      </c>
      <c r="D15" s="3" t="s">
        <v>10</v>
      </c>
      <c r="E15" s="4" t="s">
        <v>13</v>
      </c>
    </row>
    <row r="18" spans="2:5" ht="18" x14ac:dyDescent="0.35">
      <c r="B18" s="7" t="s">
        <v>14</v>
      </c>
      <c r="C18" s="8"/>
      <c r="D18" s="8"/>
      <c r="E18" s="8"/>
    </row>
    <row r="20" spans="2:5" ht="40" customHeight="1" x14ac:dyDescent="0.35">
      <c r="B20" s="12">
        <f>(0.25 * (C7 * 1000) * (C13 + 273.15)) / ((60 / C9) * C11 * (C15 + 273.15))</f>
        <v>581.43277115890453</v>
      </c>
      <c r="C20" s="8"/>
      <c r="D20" s="8"/>
      <c r="E20" s="5" t="s">
        <v>15</v>
      </c>
    </row>
    <row r="23" spans="2:5" ht="18" x14ac:dyDescent="0.35">
      <c r="B23" s="7" t="s">
        <v>16</v>
      </c>
      <c r="C23" s="8"/>
      <c r="D23" s="8"/>
      <c r="E23" s="8"/>
    </row>
    <row r="25" spans="2:5" ht="40" customHeight="1" x14ac:dyDescent="0.35">
      <c r="B25" s="11">
        <f>IF(B20&lt;=250, 200, IF(B20&lt;=400, 300, IF(B20&lt;=600, 500, IF(B20&lt;=850, 700, IF(B20&lt;=1250, 1000, IF(B20&lt;=1750, 1500, IF(B20&lt;=2500, 2000, 3000)))))))</f>
        <v>500</v>
      </c>
      <c r="C25" s="8"/>
      <c r="D25" s="8"/>
      <c r="E25" s="6" t="s">
        <v>17</v>
      </c>
    </row>
    <row r="27" spans="2:5" x14ac:dyDescent="0.35">
      <c r="B27" s="9" t="s">
        <v>18</v>
      </c>
      <c r="C27" s="8"/>
      <c r="D27" s="8"/>
      <c r="E27" s="8"/>
    </row>
  </sheetData>
  <mergeCells count="7">
    <mergeCell ref="B23:E23"/>
    <mergeCell ref="B18:E18"/>
    <mergeCell ref="B27:E27"/>
    <mergeCell ref="B5:E5"/>
    <mergeCell ref="B2:E2"/>
    <mergeCell ref="B25:D25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toán bình chứa khí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2026-09-04T07:23:44Z</dcterms:created>
  <dcterms:modified xsi:type="dcterms:W3CDTF">2026-09-06T08:35:53Z</dcterms:modified>
</cp:coreProperties>
</file>